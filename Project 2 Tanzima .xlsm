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1" codeName="{6BE1CDB9-6C1C-A5B6-3FC1-E231EC3C600E}"/>
  <workbookPr codeName="ThisWorkbook" defaultThemeVersion="166925"/>
  <mc:AlternateContent xmlns:mc="http://schemas.openxmlformats.org/markup-compatibility/2006">
    <mc:Choice Requires="x15">
      <x15ac:absPath xmlns:x15ac="http://schemas.microsoft.com/office/spreadsheetml/2010/11/ac" url="/Users/tanz/Desktop/2nd Semester courses/Data visualization MDA_640_JIAMIN/HW/"/>
    </mc:Choice>
  </mc:AlternateContent>
  <xr:revisionPtr revIDLastSave="0" documentId="8_{6C838F5D-D037-FB44-93A7-7042BE5FF8F5}" xr6:coauthVersionLast="47" xr6:coauthVersionMax="47" xr10:uidLastSave="{00000000-0000-0000-0000-000000000000}"/>
  <bookViews>
    <workbookView xWindow="28800" yWindow="0" windowWidth="32000" windowHeight="18000" xr2:uid="{6D7275B7-52C9-44AA-9B88-661ADAF5EBA3}"/>
  </bookViews>
  <sheets>
    <sheet name="Instructions" sheetId="3" r:id="rId1"/>
    <sheet name="Performance" sheetId="4" r:id="rId2"/>
  </sheets>
  <definedNames>
    <definedName name="arrayRates">#REF!</definedName>
    <definedName name="Email">#REF!</definedName>
    <definedName name="Hourly_Rate">#REF!</definedName>
    <definedName name="Hours_Worked">#REF!</definedName>
    <definedName name="Initial">#REF!</definedName>
    <definedName name="Last_Name">#REF!</definedName>
    <definedName name="Pay">#REF!</definedName>
    <definedName name="Title">#REF!</definedName>
    <definedName name="Title_">#REF!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9" i="4" l="1"/>
  <c r="M6" i="4" l="1"/>
  <c r="M4" i="4"/>
  <c r="L18" i="4" s="1"/>
  <c r="M5" i="4"/>
  <c r="H37" i="4"/>
  <c r="H36" i="4"/>
  <c r="H35" i="4"/>
  <c r="H34" i="4"/>
  <c r="H32" i="4"/>
  <c r="H31" i="4"/>
  <c r="C26" i="4"/>
  <c r="D26" i="4"/>
  <c r="E26" i="4"/>
  <c r="F26" i="4"/>
  <c r="G26" i="4"/>
  <c r="B26" i="4"/>
  <c r="H19" i="4"/>
  <c r="H20" i="4"/>
  <c r="H21" i="4"/>
  <c r="H22" i="4"/>
  <c r="H23" i="4"/>
  <c r="H24" i="4"/>
  <c r="H18" i="4"/>
  <c r="C13" i="4"/>
  <c r="D13" i="4"/>
  <c r="E13" i="4"/>
  <c r="F13" i="4"/>
  <c r="G13" i="4"/>
  <c r="B13" i="4"/>
  <c r="H6" i="4"/>
  <c r="H7" i="4"/>
  <c r="H8" i="4"/>
  <c r="H9" i="4"/>
  <c r="H10" i="4"/>
  <c r="H11" i="4"/>
  <c r="H5" i="4"/>
  <c r="H26" i="4" l="1"/>
  <c r="H13" i="4"/>
</calcChain>
</file>

<file path=xl/sharedStrings.xml><?xml version="1.0" encoding="utf-8"?>
<sst xmlns="http://schemas.openxmlformats.org/spreadsheetml/2006/main" count="82" uniqueCount="48">
  <si>
    <t>Total</t>
  </si>
  <si>
    <t>Instructions</t>
  </si>
  <si>
    <t>Salespeople Performance Evaluation Report</t>
  </si>
  <si>
    <t>Name</t>
  </si>
  <si>
    <t>Jan</t>
  </si>
  <si>
    <t>Feb</t>
  </si>
  <si>
    <t>Mar</t>
  </si>
  <si>
    <t>Apr</t>
  </si>
  <si>
    <t>May</t>
  </si>
  <si>
    <t>Jun</t>
  </si>
  <si>
    <t>Adams</t>
  </si>
  <si>
    <t>Daniels</t>
  </si>
  <si>
    <t>Kate</t>
  </si>
  <si>
    <t>Mary</t>
  </si>
  <si>
    <t>Steve</t>
  </si>
  <si>
    <t>John</t>
  </si>
  <si>
    <t>Peterson</t>
  </si>
  <si>
    <t>Sales (1000 USD)</t>
  </si>
  <si>
    <t>Actual/Target Ratio</t>
  </si>
  <si>
    <t>Average</t>
  </si>
  <si>
    <t>Averaege</t>
  </si>
  <si>
    <t>Customer Satisfaction Rate</t>
  </si>
  <si>
    <t>Total Sales</t>
  </si>
  <si>
    <t>Average Ratio</t>
  </si>
  <si>
    <t>Average Rate</t>
  </si>
  <si>
    <r>
      <t xml:space="preserve">All the following instructions are to be carried out in the </t>
    </r>
    <r>
      <rPr>
        <b/>
        <sz val="12"/>
        <rFont val="Times New Roman"/>
        <family val="1"/>
      </rPr>
      <t>Performance</t>
    </r>
    <r>
      <rPr>
        <sz val="12"/>
        <rFont val="Times New Roman"/>
        <family val="1"/>
      </rPr>
      <t xml:space="preserve"> worksheet.</t>
    </r>
  </si>
  <si>
    <t>Salesperson</t>
  </si>
  <si>
    <t>Total Sales Rank</t>
  </si>
  <si>
    <t>[1]</t>
  </si>
  <si>
    <t>Save the current file as a macro-enabled workbook.</t>
  </si>
  <si>
    <t>[2a]</t>
  </si>
  <si>
    <t>[2b]</t>
  </si>
  <si>
    <t>Change the font color of L18 to white so that the value is not visible.</t>
  </si>
  <si>
    <t>[3a]</t>
  </si>
  <si>
    <t>[3b]</t>
  </si>
  <si>
    <t>Add a shape of your choice above cell M15 to display the value in cell M6.</t>
  </si>
  <si>
    <t>Add a shape of your choice above cell K15 to display the value in cell M5.</t>
  </si>
  <si>
    <t>[4a]</t>
  </si>
  <si>
    <t>A conditional formatting rule has been set up for range B18:G24 to highlight all the cells between the values shown in cells F16 and G16 in red. Edit this rule to change the fill color to orange.</t>
  </si>
  <si>
    <t>[4b]</t>
  </si>
  <si>
    <t>[4c]</t>
  </si>
  <si>
    <t>[4d]</t>
  </si>
  <si>
    <r>
      <t xml:space="preserve">Record a macro called </t>
    </r>
    <r>
      <rPr>
        <b/>
        <sz val="12"/>
        <rFont val="Times New Roman"/>
        <family val="1"/>
      </rPr>
      <t>Low</t>
    </r>
    <r>
      <rPr>
        <sz val="12"/>
        <rFont val="Times New Roman"/>
        <family val="1"/>
      </rPr>
      <t xml:space="preserve"> that changes the value in cell F16 to 0 and the value in cell G16 to 0.5.</t>
    </r>
  </si>
  <si>
    <r>
      <t xml:space="preserve">Record a macro called </t>
    </r>
    <r>
      <rPr>
        <b/>
        <sz val="12"/>
        <rFont val="Times New Roman"/>
        <family val="1"/>
      </rPr>
      <t>High</t>
    </r>
    <r>
      <rPr>
        <sz val="12"/>
        <rFont val="Times New Roman"/>
        <family val="1"/>
      </rPr>
      <t xml:space="preserve"> that changes the value in cell F16 to 2 and the value in cell G16 to 2.5.</t>
    </r>
  </si>
  <si>
    <r>
      <t xml:space="preserve">In cell L18, a </t>
    </r>
    <r>
      <rPr>
        <b/>
        <sz val="12"/>
        <rFont val="Times New Roman"/>
        <family val="1"/>
      </rPr>
      <t>RANK</t>
    </r>
    <r>
      <rPr>
        <sz val="12"/>
        <rFont val="Times New Roman"/>
        <family val="1"/>
      </rPr>
      <t xml:space="preserve"> function has been used to rank a selected salesperson against others in terms of total sales. To represent this graphically,  select range L11:L17 (note that these cells contain values 1 to 7), then apply a conditional formatting rule that changes the fill and font color to green where the value is greater than the value in L18 and a second conditional formatting rule that changes the fill color to green while the font color to white where the value is equal to the value in L18. </t>
    </r>
  </si>
  <si>
    <t>Test the above visualization by changing the salesperson in cell M3's dropdown.</t>
  </si>
  <si>
    <r>
      <t xml:space="preserve">Add two triangle shapes to cell H16, one pointing up and one pointing down. Apply shape styles and shape formats of your choice to the two shapes, then assign the macros </t>
    </r>
    <r>
      <rPr>
        <b/>
        <sz val="12"/>
        <rFont val="Times New Roman"/>
        <family val="1"/>
      </rPr>
      <t>High</t>
    </r>
    <r>
      <rPr>
        <sz val="12"/>
        <rFont val="Times New Roman"/>
        <family val="1"/>
      </rPr>
      <t xml:space="preserve"> and </t>
    </r>
    <r>
      <rPr>
        <b/>
        <sz val="12"/>
        <rFont val="Times New Roman"/>
        <family val="1"/>
      </rPr>
      <t>Low</t>
    </r>
    <r>
      <rPr>
        <sz val="12"/>
        <rFont val="Times New Roman"/>
        <family val="1"/>
      </rPr>
      <t xml:space="preserve"> respectively to the two shapes. Click to test.</t>
    </r>
  </si>
  <si>
    <t>[2c]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</si>
</sst>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sz val="12"/>
      <color theme="1"/>
      <name val="Times New Roman"/>
      <family val="1"/>
    </font>
    <font>
      <b/>
      <sz val="12"/>
      <color theme="1"/>
      <name val="Times New Roman"/>
      <family val="1"/>
    </font>
    <font>
      <sz val="12"/>
      <name val="Times New Roman"/>
      <family val="1"/>
    </font>
    <font>
      <b/>
      <sz val="12"/>
      <name val="Times New Roman"/>
      <family val="1"/>
    </font>
    <font>
      <b/>
      <sz val="14"/>
      <name val="Times New Roman"/>
      <family val="1"/>
    </font>
    <font>
      <sz val="12"/>
      <color theme="0"/>
      <name val="Times New Roman"/>
      <family val="1"/>
    </font>
    <font>
      <sz val="11"/>
      <color theme="1"/>
      <name val="Calibri"/>
      <family val="2"/>
      <scheme val="minor"/>
    </font>
    <font>
      <sz val="11"/>
      <color theme="1"/>
      <name val="Times New Roman"/>
      <family val="1"/>
    </font>
    <font>
      <sz val="16"/>
      <color theme="0"/>
      <name val="Times New Roman"/>
      <family val="1"/>
    </font>
    <font>
      <b/>
      <sz val="11"/>
      <color theme="1"/>
      <name val="Times New Roman"/>
      <family val="1"/>
    </font>
    <font>
      <b/>
      <sz val="11"/>
      <color theme="0" tint="-4.9989318521683403E-2"/>
      <name val="Times New Roman"/>
      <family val="1"/>
    </font>
    <font>
      <sz val="11"/>
      <color theme="0"/>
      <name val="Times New Roman"/>
      <family val="1"/>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0" tint="-4.9989318521683403E-2"/>
        <bgColor indexed="64"/>
      </patternFill>
    </fill>
  </fills>
  <borders count="2">
    <border>
      <left/>
      <right/>
      <top/>
      <bottom/>
      <diagonal/>
    </border>
    <border>
      <left/>
      <right/>
      <top/>
      <bottom style="medium">
        <color indexed="64"/>
      </bottom>
      <diagonal/>
    </border>
  </borders>
  <cellStyleXfs count="2">
    <xf numFmtId="0" fontId="0" fillId="0" borderId="0"/>
    <xf numFmtId="9" fontId="7" fillId="0" borderId="0" applyFont="0" applyFill="0" applyBorder="0" applyAlignment="0" applyProtection="0"/>
  </cellStyleXfs>
  <cellXfs count="39">
    <xf numFmtId="0" fontId="0" fillId="0" borderId="0" xfId="0"/>
    <xf numFmtId="0" fontId="1" fillId="0" borderId="0" xfId="0" applyFont="1"/>
    <xf numFmtId="0" fontId="1" fillId="0" borderId="0" xfId="0" applyFont="1" applyAlignment="1">
      <alignment horizontal="center"/>
    </xf>
    <xf numFmtId="0" fontId="3" fillId="2" borderId="0" xfId="0" applyFont="1" applyFill="1"/>
    <xf numFmtId="0" fontId="5" fillId="2" borderId="0" xfId="0" applyFont="1" applyFill="1"/>
    <xf numFmtId="0" fontId="3" fillId="2" borderId="1" xfId="0" applyFont="1" applyFill="1" applyBorder="1"/>
    <xf numFmtId="0" fontId="4" fillId="2" borderId="1" xfId="0" applyFont="1" applyFill="1" applyBorder="1"/>
    <xf numFmtId="0" fontId="6" fillId="0" borderId="0" xfId="0" applyFont="1"/>
    <xf numFmtId="0" fontId="6" fillId="2" borderId="0" xfId="0" applyFont="1" applyFill="1"/>
    <xf numFmtId="0" fontId="8" fillId="0" borderId="0" xfId="0" applyFont="1"/>
    <xf numFmtId="0" fontId="1" fillId="3" borderId="0" xfId="0" applyFont="1" applyFill="1" applyAlignment="1">
      <alignment horizontal="center"/>
    </xf>
    <xf numFmtId="0" fontId="2" fillId="3" borderId="0" xfId="0" applyFont="1" applyFill="1" applyAlignment="1">
      <alignment horizontal="center"/>
    </xf>
    <xf numFmtId="0" fontId="2" fillId="3" borderId="0" xfId="0" applyFont="1" applyFill="1" applyAlignment="1">
      <alignment horizontal="left"/>
    </xf>
    <xf numFmtId="0" fontId="6" fillId="4" borderId="0" xfId="0" applyFont="1" applyFill="1" applyAlignment="1">
      <alignment horizontal="center"/>
    </xf>
    <xf numFmtId="2" fontId="1" fillId="0" borderId="0" xfId="0" applyNumberFormat="1" applyFont="1" applyAlignment="1">
      <alignment horizontal="center"/>
    </xf>
    <xf numFmtId="9" fontId="1" fillId="0" borderId="0" xfId="1" applyFont="1" applyAlignment="1">
      <alignment horizontal="center"/>
    </xf>
    <xf numFmtId="2" fontId="1" fillId="3" borderId="0" xfId="0" applyNumberFormat="1" applyFont="1" applyFill="1" applyAlignment="1">
      <alignment horizontal="center"/>
    </xf>
    <xf numFmtId="0" fontId="8" fillId="6" borderId="0" xfId="0" applyFont="1" applyFill="1"/>
    <xf numFmtId="2" fontId="8" fillId="6" borderId="0" xfId="0" applyNumberFormat="1" applyFont="1" applyFill="1"/>
    <xf numFmtId="9" fontId="8" fillId="6" borderId="0" xfId="1" applyNumberFormat="1" applyFont="1" applyFill="1"/>
    <xf numFmtId="0" fontId="10" fillId="6" borderId="0" xfId="0" applyFont="1" applyFill="1"/>
    <xf numFmtId="0" fontId="8" fillId="7" borderId="0" xfId="0" applyFont="1" applyFill="1"/>
    <xf numFmtId="0" fontId="3" fillId="2" borderId="0" xfId="0" applyFont="1" applyFill="1" applyAlignment="1">
      <alignment wrapText="1"/>
    </xf>
    <xf numFmtId="0" fontId="3" fillId="2" borderId="0" xfId="0" applyFont="1" applyFill="1" applyAlignment="1">
      <alignment vertical="top"/>
    </xf>
    <xf numFmtId="0" fontId="6" fillId="2" borderId="0" xfId="0" applyFont="1" applyFill="1" applyAlignment="1">
      <alignment vertical="top"/>
    </xf>
    <xf numFmtId="0" fontId="6" fillId="0" borderId="0" xfId="0" applyFont="1" applyAlignment="1">
      <alignment vertical="top"/>
    </xf>
    <xf numFmtId="0" fontId="1" fillId="0" borderId="0" xfId="0" applyFont="1" applyAlignment="1">
      <alignment vertical="top"/>
    </xf>
    <xf numFmtId="0" fontId="11" fillId="7" borderId="0" xfId="0" applyFont="1" applyFill="1" applyAlignment="1">
      <alignment horizontal="center"/>
    </xf>
    <xf numFmtId="0" fontId="3" fillId="2" borderId="0" xfId="0" applyFont="1" applyFill="1" applyAlignment="1">
      <alignment horizontal="left" vertical="top" wrapText="1"/>
    </xf>
    <xf numFmtId="2" fontId="8" fillId="0" borderId="0" xfId="0" applyNumberFormat="1" applyFont="1"/>
    <xf numFmtId="0" fontId="6" fillId="2" borderId="0" xfId="0" applyFont="1" applyFill="1" applyAlignment="1">
      <alignment wrapText="1"/>
    </xf>
    <xf numFmtId="0" fontId="6" fillId="0" borderId="0" xfId="0" applyFont="1" applyAlignment="1">
      <alignment wrapText="1"/>
    </xf>
    <xf numFmtId="0" fontId="1" fillId="0" borderId="0" xfId="0" applyFont="1" applyAlignment="1">
      <alignment wrapText="1"/>
    </xf>
    <xf numFmtId="0" fontId="3" fillId="2" borderId="0" xfId="0" applyFont="1" applyFill="1" applyAlignment="1">
      <alignment horizontal="left"/>
    </xf>
    <xf numFmtId="0" fontId="3" fillId="2" borderId="0" xfId="0" applyFont="1" applyFill="1" applyAlignment="1">
      <alignment horizontal="left" vertical="top"/>
    </xf>
    <xf numFmtId="0" fontId="12" fillId="0" borderId="0" xfId="0" applyFont="1" applyAlignment="1">
      <alignment horizontal="center"/>
    </xf>
    <xf numFmtId="0" fontId="3" fillId="2" borderId="0" xfId="0" applyFont="1" applyFill="1" applyAlignment="1">
      <alignment horizontal="left" vertical="top" wrapText="1"/>
    </xf>
    <xf numFmtId="0" fontId="9" fillId="5" borderId="0" xfId="0" applyFont="1" applyFill="1" applyAlignment="1">
      <alignment horizontal="center"/>
    </xf>
    <xf numFmtId="0" fontId="8" fillId="7" borderId="0" xfId="0" applyFont="1" applyFill="1" applyAlignment="1">
      <alignment horizontal="center"/>
    </xf>
  </cellXfs>
  <cellStyles count="2">
    <cellStyle name="Normal" xfId="0" builtinId="0"/>
    <cellStyle name="Percent" xfId="1" builtinId="5"/>
  </cellStyles>
  <dxfs count="7">
    <dxf>
      <font>
        <color theme="0"/>
      </font>
      <fill>
        <patternFill>
          <bgColor theme="9"/>
        </patternFill>
      </fill>
    </dxf>
    <dxf>
      <font>
        <color theme="0"/>
      </font>
      <fill>
        <patternFill>
          <bgColor theme="9"/>
        </patternFill>
      </fill>
    </dxf>
    <dxf>
      <font>
        <color rgb="FF006100"/>
      </font>
      <fill>
        <patternFill>
          <bgColor rgb="FFC6EFCE"/>
        </patternFill>
      </fill>
    </dxf>
    <dxf>
      <font>
        <color rgb="FF9C0006"/>
      </font>
      <fill>
        <patternFill>
          <bgColor rgb="FFFFC7CE"/>
        </patternFill>
      </fill>
    </dxf>
    <dxf>
      <fill>
        <patternFill>
          <bgColor theme="5"/>
        </patternFill>
      </fill>
    </dxf>
    <dxf>
      <fill>
        <patternFill>
          <bgColor theme="4" tint="0.59996337778862885"/>
        </patternFill>
      </fill>
    </dxf>
    <dxf>
      <font>
        <color rgb="FF9C0006"/>
      </font>
      <fill>
        <patternFill>
          <bgColor rgb="FFFFC7CE"/>
        </patternFill>
      </fill>
    </dxf>
  </dxfs>
  <tableStyles count="0" defaultTableStyle="TableStyleMedium2" defaultPivotStyle="PivotStyleLight16"/>
  <colors>
    <mruColors>
      <color rgb="FFCC0066"/>
      <color rgb="FFFF5050"/>
      <color rgb="FFB3556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10</xdr:col>
      <xdr:colOff>28224</xdr:colOff>
      <xdr:row>12</xdr:row>
      <xdr:rowOff>178742</xdr:rowOff>
    </xdr:from>
    <xdr:to>
      <xdr:col>10</xdr:col>
      <xdr:colOff>940742</xdr:colOff>
      <xdr:row>13</xdr:row>
      <xdr:rowOff>197557</xdr:rowOff>
    </xdr:to>
    <xdr:sp macro="" textlink="$M$5">
      <xdr:nvSpPr>
        <xdr:cNvPr id="2" name="Preparation 1">
          <a:extLst>
            <a:ext uri="{FF2B5EF4-FFF2-40B4-BE49-F238E27FC236}">
              <a16:creationId xmlns:a16="http://schemas.microsoft.com/office/drawing/2014/main" id="{38BFBF05-4425-1043-BBD8-8CF55A415D9A}"/>
            </a:ext>
          </a:extLst>
        </xdr:cNvPr>
        <xdr:cNvSpPr/>
      </xdr:nvSpPr>
      <xdr:spPr>
        <a:xfrm>
          <a:off x="7008520" y="2681112"/>
          <a:ext cx="912518" cy="225778"/>
        </a:xfrm>
        <a:prstGeom prst="flowChartPreparation">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fld id="{FF217294-19D6-1E44-97CC-516C51B37EFE}" type="TxLink">
            <a:rPr lang="en-US" sz="1100" b="0" i="0" u="none" strike="noStrike">
              <a:solidFill>
                <a:srgbClr val="000000"/>
              </a:solidFill>
              <a:latin typeface="Times New Roman"/>
              <a:cs typeface="Times New Roman"/>
            </a:rPr>
            <a:pPr algn="l"/>
            <a:t>1.60</a:t>
          </a:fld>
          <a:endParaRPr lang="en-US" sz="1100"/>
        </a:p>
      </xdr:txBody>
    </xdr:sp>
    <xdr:clientData/>
  </xdr:twoCellAnchor>
  <xdr:twoCellAnchor>
    <xdr:from>
      <xdr:col>12</xdr:col>
      <xdr:colOff>28222</xdr:colOff>
      <xdr:row>12</xdr:row>
      <xdr:rowOff>197557</xdr:rowOff>
    </xdr:from>
    <xdr:to>
      <xdr:col>12</xdr:col>
      <xdr:colOff>931333</xdr:colOff>
      <xdr:row>14</xdr:row>
      <xdr:rowOff>1</xdr:rowOff>
    </xdr:to>
    <xdr:sp macro="" textlink="$M$6">
      <xdr:nvSpPr>
        <xdr:cNvPr id="3" name="Preparation 2">
          <a:extLst>
            <a:ext uri="{FF2B5EF4-FFF2-40B4-BE49-F238E27FC236}">
              <a16:creationId xmlns:a16="http://schemas.microsoft.com/office/drawing/2014/main" id="{5F36EC4E-2632-C74D-82EA-6CC5058D8680}"/>
            </a:ext>
          </a:extLst>
        </xdr:cNvPr>
        <xdr:cNvSpPr/>
      </xdr:nvSpPr>
      <xdr:spPr>
        <a:xfrm>
          <a:off x="8607778" y="2699927"/>
          <a:ext cx="903111" cy="216370"/>
        </a:xfrm>
        <a:prstGeom prst="flowChartPreparation">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fld id="{A3D379A2-8D8C-1248-B790-FB1EF9BE55FE}" type="TxLink">
            <a:rPr lang="en-US" sz="1100" b="0" i="0" u="none" strike="noStrike">
              <a:solidFill>
                <a:srgbClr val="000000"/>
              </a:solidFill>
              <a:latin typeface="Times New Roman"/>
              <a:cs typeface="Times New Roman"/>
            </a:rPr>
            <a:pPr algn="l"/>
            <a:t>88%</a:t>
          </a:fld>
          <a:endParaRPr lang="en-US" sz="1100"/>
        </a:p>
      </xdr:txBody>
    </xdr:sp>
    <xdr:clientData/>
  </xdr:twoCellAnchor>
  <xdr:twoCellAnchor>
    <xdr:from>
      <xdr:col>7</xdr:col>
      <xdr:colOff>338666</xdr:colOff>
      <xdr:row>15</xdr:row>
      <xdr:rowOff>18815</xdr:rowOff>
    </xdr:from>
    <xdr:to>
      <xdr:col>7</xdr:col>
      <xdr:colOff>536222</xdr:colOff>
      <xdr:row>15</xdr:row>
      <xdr:rowOff>169334</xdr:rowOff>
    </xdr:to>
    <xdr:sp macro="[0]!Low" textlink="">
      <xdr:nvSpPr>
        <xdr:cNvPr id="5" name="Merge 4">
          <a:extLst>
            <a:ext uri="{FF2B5EF4-FFF2-40B4-BE49-F238E27FC236}">
              <a16:creationId xmlns:a16="http://schemas.microsoft.com/office/drawing/2014/main" id="{CADD569C-06B9-F347-88AB-452C496C364D}"/>
            </a:ext>
          </a:extLst>
        </xdr:cNvPr>
        <xdr:cNvSpPr/>
      </xdr:nvSpPr>
      <xdr:spPr>
        <a:xfrm>
          <a:off x="5211703" y="3113852"/>
          <a:ext cx="197556" cy="150519"/>
        </a:xfrm>
        <a:prstGeom prst="flowChartMerg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C00000"/>
            </a:solidFill>
          </a:endParaRPr>
        </a:p>
      </xdr:txBody>
    </xdr:sp>
    <xdr:clientData/>
  </xdr:twoCellAnchor>
  <xdr:twoCellAnchor>
    <xdr:from>
      <xdr:col>7</xdr:col>
      <xdr:colOff>169333</xdr:colOff>
      <xdr:row>15</xdr:row>
      <xdr:rowOff>9408</xdr:rowOff>
    </xdr:from>
    <xdr:to>
      <xdr:col>7</xdr:col>
      <xdr:colOff>329259</xdr:colOff>
      <xdr:row>15</xdr:row>
      <xdr:rowOff>169334</xdr:rowOff>
    </xdr:to>
    <xdr:sp macro="[0]!High" textlink="">
      <xdr:nvSpPr>
        <xdr:cNvPr id="6" name="Extract 5">
          <a:extLst>
            <a:ext uri="{FF2B5EF4-FFF2-40B4-BE49-F238E27FC236}">
              <a16:creationId xmlns:a16="http://schemas.microsoft.com/office/drawing/2014/main" id="{CCA6E19A-6F2E-BE4D-9EA0-6E599AE5E00C}"/>
            </a:ext>
          </a:extLst>
        </xdr:cNvPr>
        <xdr:cNvSpPr/>
      </xdr:nvSpPr>
      <xdr:spPr>
        <a:xfrm>
          <a:off x="5042370" y="3104445"/>
          <a:ext cx="159926" cy="159926"/>
        </a:xfrm>
        <a:prstGeom prst="flowChartExtra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4D7809-E8D7-4351-9441-DD2718C7E734}">
  <sheetPr codeName="Sheet1"/>
  <dimension ref="A1:W179"/>
  <sheetViews>
    <sheetView tabSelected="1" zoomScale="174" zoomScaleNormal="174" workbookViewId="0">
      <selection activeCell="A3" sqref="A3"/>
    </sheetView>
  </sheetViews>
  <sheetFormatPr baseColWidth="10" defaultColWidth="9.1640625" defaultRowHeight="16" x14ac:dyDescent="0.2"/>
  <cols>
    <col min="1" max="1" width="6" style="3" customWidth="1"/>
    <col min="2" max="2" width="4" style="3" customWidth="1"/>
    <col min="3" max="15" width="9.1640625" style="3"/>
    <col min="16" max="19" width="9.1640625" style="8"/>
    <col min="20" max="16384" width="9.1640625" style="1"/>
  </cols>
  <sheetData>
    <row r="1" spans="1:23" x14ac:dyDescent="0.2">
      <c r="T1" s="7"/>
      <c r="U1" s="7"/>
      <c r="V1" s="7"/>
      <c r="W1" s="7"/>
    </row>
    <row r="2" spans="1:23" x14ac:dyDescent="0.2">
      <c r="T2" s="7"/>
      <c r="U2" s="7"/>
      <c r="V2" s="7"/>
      <c r="W2" s="7"/>
    </row>
    <row r="3" spans="1:23" ht="18" x14ac:dyDescent="0.2">
      <c r="A3" s="4"/>
      <c r="B3" s="4"/>
      <c r="C3" s="4"/>
      <c r="D3" s="4"/>
      <c r="T3" s="7"/>
      <c r="U3" s="7"/>
      <c r="V3" s="7"/>
      <c r="W3" s="7"/>
    </row>
    <row r="4" spans="1:23" x14ac:dyDescent="0.2">
      <c r="T4" s="7"/>
      <c r="U4" s="7"/>
      <c r="V4" s="7"/>
      <c r="W4" s="7"/>
    </row>
    <row r="5" spans="1:23" ht="17" thickBot="1" x14ac:dyDescent="0.25">
      <c r="A5" s="6" t="s">
        <v>1</v>
      </c>
      <c r="B5" s="6"/>
      <c r="C5" s="5"/>
      <c r="D5" s="5"/>
      <c r="E5" s="5"/>
      <c r="F5" s="5"/>
      <c r="G5" s="5"/>
      <c r="H5" s="5"/>
      <c r="I5" s="5"/>
      <c r="J5" s="5"/>
      <c r="K5" s="5"/>
      <c r="L5" s="5"/>
      <c r="M5" s="5"/>
      <c r="N5" s="5"/>
      <c r="O5" s="5"/>
      <c r="T5" s="7"/>
      <c r="U5" s="7"/>
      <c r="V5" s="7"/>
      <c r="W5" s="7"/>
    </row>
    <row r="6" spans="1:23" x14ac:dyDescent="0.2">
      <c r="C6" s="3" t="s">
        <v>25</v>
      </c>
      <c r="T6" s="7"/>
      <c r="U6" s="7"/>
      <c r="V6" s="7"/>
      <c r="W6" s="7"/>
    </row>
    <row r="7" spans="1:23" x14ac:dyDescent="0.2">
      <c r="T7" s="7"/>
      <c r="U7" s="7"/>
      <c r="V7" s="7"/>
      <c r="W7" s="7"/>
    </row>
    <row r="8" spans="1:23" x14ac:dyDescent="0.2">
      <c r="B8" s="33" t="s">
        <v>28</v>
      </c>
      <c r="C8" s="3" t="s">
        <v>29</v>
      </c>
      <c r="T8" s="7"/>
      <c r="U8" s="7"/>
      <c r="V8" s="7"/>
      <c r="W8" s="7"/>
    </row>
    <row r="9" spans="1:23" x14ac:dyDescent="0.2">
      <c r="B9" s="33"/>
      <c r="T9" s="7"/>
      <c r="U9" s="7"/>
      <c r="V9" s="7"/>
      <c r="W9" s="7"/>
    </row>
    <row r="10" spans="1:23" s="26" customFormat="1" ht="64.25" customHeight="1" x14ac:dyDescent="0.2">
      <c r="A10" s="23"/>
      <c r="B10" s="34" t="s">
        <v>30</v>
      </c>
      <c r="C10" s="36" t="s">
        <v>44</v>
      </c>
      <c r="D10" s="36"/>
      <c r="E10" s="36"/>
      <c r="F10" s="36"/>
      <c r="G10" s="36"/>
      <c r="H10" s="36"/>
      <c r="I10" s="36"/>
      <c r="J10" s="36"/>
      <c r="K10" s="36"/>
      <c r="L10" s="36"/>
      <c r="M10" s="36"/>
      <c r="N10" s="36"/>
      <c r="O10" s="36"/>
      <c r="P10" s="24"/>
      <c r="Q10" s="24"/>
      <c r="R10" s="24"/>
      <c r="S10" s="24"/>
      <c r="T10" s="25"/>
      <c r="U10" s="25"/>
      <c r="V10" s="25"/>
      <c r="W10" s="25"/>
    </row>
    <row r="11" spans="1:23" x14ac:dyDescent="0.2">
      <c r="B11" s="33" t="s">
        <v>31</v>
      </c>
      <c r="C11" s="3" t="s">
        <v>45</v>
      </c>
      <c r="T11" s="7"/>
      <c r="U11" s="7"/>
      <c r="V11" s="7"/>
      <c r="W11" s="7"/>
    </row>
    <row r="12" spans="1:23" x14ac:dyDescent="0.2">
      <c r="B12" s="33" t="s">
        <v>47</v>
      </c>
      <c r="C12" s="3" t="s">
        <v>32</v>
      </c>
      <c r="T12" s="7"/>
      <c r="U12" s="7"/>
      <c r="V12" s="7"/>
      <c r="W12" s="7"/>
    </row>
    <row r="13" spans="1:23" x14ac:dyDescent="0.2">
      <c r="B13" s="33"/>
      <c r="T13" s="7"/>
      <c r="U13" s="7"/>
      <c r="V13" s="7"/>
      <c r="W13" s="7"/>
    </row>
    <row r="14" spans="1:23" x14ac:dyDescent="0.2">
      <c r="B14" s="33" t="s">
        <v>33</v>
      </c>
      <c r="C14" s="3" t="s">
        <v>36</v>
      </c>
      <c r="T14" s="7"/>
      <c r="U14" s="7"/>
      <c r="V14" s="7"/>
      <c r="W14" s="7"/>
    </row>
    <row r="15" spans="1:23" x14ac:dyDescent="0.2">
      <c r="B15" s="33" t="s">
        <v>34</v>
      </c>
      <c r="C15" s="3" t="s">
        <v>35</v>
      </c>
      <c r="T15" s="7"/>
      <c r="U15" s="7"/>
      <c r="V15" s="7"/>
      <c r="W15" s="7"/>
    </row>
    <row r="16" spans="1:23" x14ac:dyDescent="0.2">
      <c r="B16" s="33"/>
      <c r="T16" s="7"/>
      <c r="U16" s="7"/>
      <c r="V16" s="7"/>
      <c r="W16" s="7"/>
    </row>
    <row r="17" spans="1:23" s="32" customFormat="1" ht="35.5" customHeight="1" x14ac:dyDescent="0.2">
      <c r="A17" s="22"/>
      <c r="B17" s="28" t="s">
        <v>37</v>
      </c>
      <c r="C17" s="36" t="s">
        <v>38</v>
      </c>
      <c r="D17" s="36"/>
      <c r="E17" s="36"/>
      <c r="F17" s="36"/>
      <c r="G17" s="36"/>
      <c r="H17" s="36"/>
      <c r="I17" s="36"/>
      <c r="J17" s="36"/>
      <c r="K17" s="36"/>
      <c r="L17" s="36"/>
      <c r="M17" s="36"/>
      <c r="N17" s="36"/>
      <c r="O17" s="36"/>
      <c r="P17" s="30"/>
      <c r="Q17" s="30"/>
      <c r="R17" s="30"/>
      <c r="S17" s="30"/>
      <c r="T17" s="31"/>
      <c r="U17" s="31"/>
      <c r="V17" s="31"/>
      <c r="W17" s="31"/>
    </row>
    <row r="18" spans="1:23" x14ac:dyDescent="0.2">
      <c r="B18" s="33" t="s">
        <v>39</v>
      </c>
      <c r="C18" s="3" t="s">
        <v>42</v>
      </c>
      <c r="T18" s="7"/>
      <c r="U18" s="7"/>
      <c r="V18" s="7"/>
      <c r="W18" s="7"/>
    </row>
    <row r="19" spans="1:23" x14ac:dyDescent="0.2">
      <c r="B19" s="33" t="s">
        <v>40</v>
      </c>
      <c r="C19" s="3" t="s">
        <v>43</v>
      </c>
      <c r="T19" s="7"/>
      <c r="U19" s="7"/>
      <c r="V19" s="7"/>
      <c r="W19" s="7"/>
    </row>
    <row r="20" spans="1:23" ht="35.25" customHeight="1" x14ac:dyDescent="0.2">
      <c r="B20" s="34" t="s">
        <v>41</v>
      </c>
      <c r="C20" s="36" t="s">
        <v>46</v>
      </c>
      <c r="D20" s="36"/>
      <c r="E20" s="36"/>
      <c r="F20" s="36"/>
      <c r="G20" s="36"/>
      <c r="H20" s="36"/>
      <c r="I20" s="36"/>
      <c r="J20" s="36"/>
      <c r="K20" s="36"/>
      <c r="L20" s="36"/>
      <c r="M20" s="36"/>
      <c r="N20" s="36"/>
      <c r="O20" s="36"/>
      <c r="T20" s="7"/>
      <c r="U20" s="7"/>
      <c r="V20" s="7"/>
      <c r="W20" s="7"/>
    </row>
    <row r="21" spans="1:23" x14ac:dyDescent="0.2">
      <c r="T21" s="7"/>
      <c r="U21" s="7"/>
      <c r="V21" s="7"/>
      <c r="W21" s="7"/>
    </row>
    <row r="22" spans="1:23" x14ac:dyDescent="0.2">
      <c r="T22" s="7"/>
      <c r="U22" s="7"/>
      <c r="V22" s="7"/>
      <c r="W22" s="7"/>
    </row>
    <row r="23" spans="1:23" x14ac:dyDescent="0.2">
      <c r="T23" s="7"/>
      <c r="U23" s="7"/>
      <c r="V23" s="7"/>
      <c r="W23" s="7"/>
    </row>
    <row r="24" spans="1:23" x14ac:dyDescent="0.2">
      <c r="T24" s="7"/>
      <c r="U24" s="7"/>
      <c r="V24" s="7"/>
      <c r="W24" s="7"/>
    </row>
    <row r="25" spans="1:23" x14ac:dyDescent="0.2">
      <c r="T25" s="7"/>
      <c r="U25" s="7"/>
      <c r="V25" s="7"/>
      <c r="W25" s="7"/>
    </row>
    <row r="26" spans="1:23" x14ac:dyDescent="0.2">
      <c r="P26" s="3"/>
      <c r="T26" s="7"/>
      <c r="U26" s="7"/>
      <c r="V26" s="7"/>
      <c r="W26" s="7"/>
    </row>
    <row r="27" spans="1:23" x14ac:dyDescent="0.2">
      <c r="P27" s="3"/>
      <c r="T27" s="7"/>
      <c r="U27" s="7"/>
      <c r="V27" s="7"/>
      <c r="W27" s="7"/>
    </row>
    <row r="28" spans="1:23" x14ac:dyDescent="0.2">
      <c r="P28" s="3"/>
      <c r="T28" s="7"/>
      <c r="U28" s="7"/>
      <c r="V28" s="7"/>
      <c r="W28" s="7"/>
    </row>
    <row r="29" spans="1:23" x14ac:dyDescent="0.2">
      <c r="P29" s="3"/>
      <c r="T29" s="7"/>
      <c r="U29" s="7"/>
      <c r="V29" s="7"/>
      <c r="W29" s="7"/>
    </row>
    <row r="30" spans="1:23" x14ac:dyDescent="0.2">
      <c r="P30" s="3"/>
      <c r="T30" s="7"/>
      <c r="U30" s="7"/>
      <c r="V30" s="7"/>
      <c r="W30" s="7"/>
    </row>
    <row r="31" spans="1:23" x14ac:dyDescent="0.2">
      <c r="T31" s="7"/>
      <c r="U31" s="7"/>
      <c r="V31" s="7"/>
      <c r="W31" s="7"/>
    </row>
    <row r="32" spans="1:23" x14ac:dyDescent="0.2">
      <c r="T32" s="7"/>
      <c r="U32" s="7"/>
      <c r="V32" s="7"/>
      <c r="W32" s="7"/>
    </row>
    <row r="33" spans="20:23" x14ac:dyDescent="0.2">
      <c r="T33" s="7"/>
      <c r="U33" s="7"/>
      <c r="V33" s="7"/>
      <c r="W33" s="7"/>
    </row>
    <row r="34" spans="20:23" x14ac:dyDescent="0.2">
      <c r="T34" s="7"/>
      <c r="U34" s="7"/>
      <c r="V34" s="7"/>
      <c r="W34" s="7"/>
    </row>
    <row r="35" spans="20:23" x14ac:dyDescent="0.2">
      <c r="T35" s="7"/>
      <c r="U35" s="7"/>
      <c r="V35" s="7"/>
      <c r="W35" s="7"/>
    </row>
    <row r="36" spans="20:23" x14ac:dyDescent="0.2">
      <c r="T36" s="7"/>
      <c r="U36" s="7"/>
      <c r="V36" s="7"/>
      <c r="W36" s="7"/>
    </row>
    <row r="37" spans="20:23" x14ac:dyDescent="0.2">
      <c r="T37" s="7"/>
      <c r="U37" s="7"/>
      <c r="V37" s="7"/>
      <c r="W37" s="7"/>
    </row>
    <row r="38" spans="20:23" x14ac:dyDescent="0.2">
      <c r="T38" s="7"/>
      <c r="U38" s="7"/>
      <c r="V38" s="7"/>
      <c r="W38" s="7"/>
    </row>
    <row r="39" spans="20:23" x14ac:dyDescent="0.2">
      <c r="T39" s="7"/>
      <c r="U39" s="7"/>
      <c r="V39" s="7"/>
      <c r="W39" s="7"/>
    </row>
    <row r="40" spans="20:23" x14ac:dyDescent="0.2">
      <c r="T40" s="7"/>
      <c r="U40" s="7"/>
      <c r="V40" s="7"/>
      <c r="W40" s="7"/>
    </row>
    <row r="41" spans="20:23" x14ac:dyDescent="0.2">
      <c r="T41" s="7"/>
      <c r="U41" s="7"/>
      <c r="V41" s="7"/>
      <c r="W41" s="7"/>
    </row>
    <row r="42" spans="20:23" x14ac:dyDescent="0.2">
      <c r="T42" s="7"/>
      <c r="U42" s="7"/>
      <c r="V42" s="7"/>
      <c r="W42" s="7"/>
    </row>
    <row r="43" spans="20:23" x14ac:dyDescent="0.2">
      <c r="T43" s="7"/>
      <c r="U43" s="7"/>
      <c r="V43" s="7"/>
      <c r="W43" s="7"/>
    </row>
    <row r="44" spans="20:23" x14ac:dyDescent="0.2">
      <c r="T44" s="7"/>
      <c r="U44" s="7"/>
      <c r="V44" s="7"/>
      <c r="W44" s="7"/>
    </row>
    <row r="45" spans="20:23" x14ac:dyDescent="0.2">
      <c r="T45" s="7"/>
      <c r="U45" s="7"/>
      <c r="V45" s="7"/>
      <c r="W45" s="7"/>
    </row>
    <row r="46" spans="20:23" x14ac:dyDescent="0.2">
      <c r="T46" s="7"/>
      <c r="U46" s="7"/>
      <c r="V46" s="7"/>
      <c r="W46" s="7"/>
    </row>
    <row r="47" spans="20:23" x14ac:dyDescent="0.2">
      <c r="T47" s="7"/>
      <c r="U47" s="7"/>
      <c r="V47" s="7"/>
      <c r="W47" s="7"/>
    </row>
    <row r="48" spans="20:23" x14ac:dyDescent="0.2">
      <c r="T48" s="7"/>
      <c r="U48" s="7"/>
      <c r="V48" s="7"/>
      <c r="W48" s="7"/>
    </row>
    <row r="49" spans="20:23" x14ac:dyDescent="0.2">
      <c r="T49" s="7"/>
      <c r="U49" s="7"/>
      <c r="V49" s="7"/>
      <c r="W49" s="7"/>
    </row>
    <row r="50" spans="20:23" x14ac:dyDescent="0.2">
      <c r="T50" s="7"/>
      <c r="U50" s="7"/>
      <c r="V50" s="7"/>
      <c r="W50" s="7"/>
    </row>
    <row r="51" spans="20:23" x14ac:dyDescent="0.2">
      <c r="T51" s="7"/>
      <c r="U51" s="7"/>
      <c r="V51" s="7"/>
      <c r="W51" s="7"/>
    </row>
    <row r="52" spans="20:23" x14ac:dyDescent="0.2">
      <c r="T52" s="7"/>
      <c r="U52" s="7"/>
      <c r="V52" s="7"/>
      <c r="W52" s="7"/>
    </row>
    <row r="53" spans="20:23" x14ac:dyDescent="0.2">
      <c r="T53" s="7"/>
      <c r="U53" s="7"/>
      <c r="V53" s="7"/>
      <c r="W53" s="7"/>
    </row>
    <row r="54" spans="20:23" x14ac:dyDescent="0.2">
      <c r="T54" s="7"/>
      <c r="U54" s="7"/>
      <c r="V54" s="7"/>
      <c r="W54" s="7"/>
    </row>
    <row r="55" spans="20:23" x14ac:dyDescent="0.2">
      <c r="T55" s="7"/>
      <c r="U55" s="7"/>
      <c r="V55" s="7"/>
      <c r="W55" s="7"/>
    </row>
    <row r="56" spans="20:23" x14ac:dyDescent="0.2">
      <c r="T56" s="7"/>
      <c r="U56" s="7"/>
      <c r="V56" s="7"/>
      <c r="W56" s="7"/>
    </row>
    <row r="57" spans="20:23" x14ac:dyDescent="0.2">
      <c r="T57" s="7"/>
      <c r="U57" s="7"/>
      <c r="V57" s="7"/>
      <c r="W57" s="7"/>
    </row>
    <row r="58" spans="20:23" x14ac:dyDescent="0.2">
      <c r="T58" s="7"/>
      <c r="U58" s="7"/>
      <c r="V58" s="7"/>
      <c r="W58" s="7"/>
    </row>
    <row r="59" spans="20:23" x14ac:dyDescent="0.2">
      <c r="T59" s="7"/>
      <c r="U59" s="7"/>
      <c r="V59" s="7"/>
      <c r="W59" s="7"/>
    </row>
    <row r="60" spans="20:23" x14ac:dyDescent="0.2">
      <c r="T60" s="7"/>
      <c r="U60" s="7"/>
      <c r="V60" s="7"/>
      <c r="W60" s="7"/>
    </row>
    <row r="61" spans="20:23" x14ac:dyDescent="0.2">
      <c r="T61" s="7"/>
      <c r="U61" s="7"/>
      <c r="V61" s="7"/>
      <c r="W61" s="7"/>
    </row>
    <row r="62" spans="20:23" x14ac:dyDescent="0.2">
      <c r="T62" s="7"/>
      <c r="U62" s="7"/>
      <c r="V62" s="7"/>
      <c r="W62" s="7"/>
    </row>
    <row r="63" spans="20:23" x14ac:dyDescent="0.2">
      <c r="T63" s="7"/>
      <c r="U63" s="7"/>
      <c r="V63" s="7"/>
      <c r="W63" s="7"/>
    </row>
    <row r="64" spans="20:23" x14ac:dyDescent="0.2">
      <c r="T64" s="7"/>
      <c r="U64" s="7"/>
      <c r="V64" s="7"/>
      <c r="W64" s="7"/>
    </row>
    <row r="65" spans="20:23" x14ac:dyDescent="0.2">
      <c r="T65" s="7"/>
      <c r="U65" s="7"/>
      <c r="V65" s="7"/>
      <c r="W65" s="7"/>
    </row>
    <row r="66" spans="20:23" x14ac:dyDescent="0.2">
      <c r="T66" s="7"/>
      <c r="U66" s="7"/>
      <c r="V66" s="7"/>
      <c r="W66" s="7"/>
    </row>
    <row r="67" spans="20:23" x14ac:dyDescent="0.2">
      <c r="T67" s="7"/>
      <c r="U67" s="7"/>
      <c r="V67" s="7"/>
      <c r="W67" s="7"/>
    </row>
    <row r="68" spans="20:23" x14ac:dyDescent="0.2">
      <c r="T68" s="7"/>
      <c r="U68" s="7"/>
      <c r="V68" s="7"/>
      <c r="W68" s="7"/>
    </row>
    <row r="69" spans="20:23" x14ac:dyDescent="0.2">
      <c r="T69" s="7"/>
      <c r="U69" s="7"/>
      <c r="V69" s="7"/>
      <c r="W69" s="7"/>
    </row>
    <row r="70" spans="20:23" x14ac:dyDescent="0.2">
      <c r="T70" s="7"/>
      <c r="U70" s="7"/>
      <c r="V70" s="7"/>
      <c r="W70" s="7"/>
    </row>
    <row r="71" spans="20:23" x14ac:dyDescent="0.2">
      <c r="T71" s="7"/>
      <c r="U71" s="7"/>
      <c r="V71" s="7"/>
      <c r="W71" s="7"/>
    </row>
    <row r="72" spans="20:23" x14ac:dyDescent="0.2">
      <c r="T72" s="7"/>
      <c r="U72" s="7"/>
      <c r="V72" s="7"/>
      <c r="W72" s="7"/>
    </row>
    <row r="73" spans="20:23" x14ac:dyDescent="0.2">
      <c r="T73" s="7"/>
      <c r="U73" s="7"/>
      <c r="V73" s="7"/>
      <c r="W73" s="7"/>
    </row>
    <row r="74" spans="20:23" x14ac:dyDescent="0.2">
      <c r="T74" s="7"/>
      <c r="U74" s="7"/>
      <c r="V74" s="7"/>
      <c r="W74" s="7"/>
    </row>
    <row r="75" spans="20:23" x14ac:dyDescent="0.2">
      <c r="T75" s="7"/>
      <c r="U75" s="7"/>
      <c r="V75" s="7"/>
      <c r="W75" s="7"/>
    </row>
    <row r="76" spans="20:23" x14ac:dyDescent="0.2">
      <c r="T76" s="7"/>
      <c r="U76" s="7"/>
      <c r="V76" s="7"/>
      <c r="W76" s="7"/>
    </row>
    <row r="77" spans="20:23" x14ac:dyDescent="0.2">
      <c r="T77" s="7"/>
      <c r="U77" s="7"/>
      <c r="V77" s="7"/>
      <c r="W77" s="7"/>
    </row>
    <row r="78" spans="20:23" x14ac:dyDescent="0.2">
      <c r="T78" s="7"/>
      <c r="U78" s="7"/>
      <c r="V78" s="7"/>
      <c r="W78" s="7"/>
    </row>
    <row r="79" spans="20:23" x14ac:dyDescent="0.2">
      <c r="T79" s="7"/>
      <c r="U79" s="7"/>
      <c r="V79" s="7"/>
      <c r="W79" s="7"/>
    </row>
    <row r="80" spans="20:23" x14ac:dyDescent="0.2">
      <c r="T80" s="7"/>
      <c r="U80" s="7"/>
      <c r="V80" s="7"/>
      <c r="W80" s="7"/>
    </row>
    <row r="81" spans="20:23" x14ac:dyDescent="0.2">
      <c r="T81" s="7"/>
      <c r="U81" s="7"/>
      <c r="V81" s="7"/>
      <c r="W81" s="7"/>
    </row>
    <row r="82" spans="20:23" x14ac:dyDescent="0.2">
      <c r="T82" s="7"/>
      <c r="U82" s="7"/>
      <c r="V82" s="7"/>
      <c r="W82" s="7"/>
    </row>
    <row r="83" spans="20:23" x14ac:dyDescent="0.2">
      <c r="T83" s="7"/>
      <c r="U83" s="7"/>
      <c r="V83" s="7"/>
      <c r="W83" s="7"/>
    </row>
    <row r="84" spans="20:23" x14ac:dyDescent="0.2">
      <c r="T84" s="7"/>
      <c r="U84" s="7"/>
      <c r="V84" s="7"/>
      <c r="W84" s="7"/>
    </row>
    <row r="85" spans="20:23" x14ac:dyDescent="0.2">
      <c r="T85" s="7"/>
      <c r="U85" s="7"/>
      <c r="V85" s="7"/>
      <c r="W85" s="7"/>
    </row>
    <row r="86" spans="20:23" x14ac:dyDescent="0.2">
      <c r="T86" s="7"/>
      <c r="U86" s="7"/>
      <c r="V86" s="7"/>
      <c r="W86" s="7"/>
    </row>
    <row r="87" spans="20:23" x14ac:dyDescent="0.2">
      <c r="T87" s="7"/>
      <c r="U87" s="7"/>
      <c r="V87" s="7"/>
      <c r="W87" s="7"/>
    </row>
    <row r="88" spans="20:23" x14ac:dyDescent="0.2">
      <c r="T88" s="7"/>
      <c r="U88" s="7"/>
      <c r="V88" s="7"/>
      <c r="W88" s="7"/>
    </row>
    <row r="89" spans="20:23" x14ac:dyDescent="0.2">
      <c r="T89" s="7"/>
      <c r="U89" s="7"/>
      <c r="V89" s="7"/>
      <c r="W89" s="7"/>
    </row>
    <row r="90" spans="20:23" x14ac:dyDescent="0.2">
      <c r="T90" s="7"/>
      <c r="U90" s="7"/>
      <c r="V90" s="7"/>
      <c r="W90" s="7"/>
    </row>
    <row r="91" spans="20:23" x14ac:dyDescent="0.2">
      <c r="T91" s="7"/>
      <c r="U91" s="7"/>
      <c r="V91" s="7"/>
      <c r="W91" s="7"/>
    </row>
    <row r="92" spans="20:23" x14ac:dyDescent="0.2">
      <c r="T92" s="7"/>
      <c r="U92" s="7"/>
      <c r="V92" s="7"/>
      <c r="W92" s="7"/>
    </row>
    <row r="93" spans="20:23" x14ac:dyDescent="0.2">
      <c r="T93" s="7"/>
      <c r="U93" s="7"/>
      <c r="V93" s="7"/>
      <c r="W93" s="7"/>
    </row>
    <row r="94" spans="20:23" x14ac:dyDescent="0.2">
      <c r="T94" s="7"/>
      <c r="U94" s="7"/>
      <c r="V94" s="7"/>
      <c r="W94" s="7"/>
    </row>
    <row r="95" spans="20:23" x14ac:dyDescent="0.2">
      <c r="T95" s="7"/>
      <c r="U95" s="7"/>
      <c r="V95" s="7"/>
      <c r="W95" s="7"/>
    </row>
    <row r="96" spans="20:23" x14ac:dyDescent="0.2">
      <c r="T96" s="7"/>
      <c r="U96" s="7"/>
      <c r="V96" s="7"/>
      <c r="W96" s="7"/>
    </row>
    <row r="97" spans="20:23" x14ac:dyDescent="0.2">
      <c r="T97" s="7"/>
      <c r="U97" s="7"/>
      <c r="V97" s="7"/>
      <c r="W97" s="7"/>
    </row>
    <row r="98" spans="20:23" x14ac:dyDescent="0.2">
      <c r="T98" s="7"/>
      <c r="U98" s="7"/>
      <c r="V98" s="7"/>
      <c r="W98" s="7"/>
    </row>
    <row r="99" spans="20:23" x14ac:dyDescent="0.2">
      <c r="T99" s="7"/>
      <c r="U99" s="7"/>
      <c r="V99" s="7"/>
      <c r="W99" s="7"/>
    </row>
    <row r="100" spans="20:23" x14ac:dyDescent="0.2">
      <c r="T100" s="7"/>
      <c r="U100" s="7"/>
      <c r="V100" s="7"/>
      <c r="W100" s="7"/>
    </row>
    <row r="101" spans="20:23" x14ac:dyDescent="0.2">
      <c r="T101" s="7"/>
      <c r="U101" s="7"/>
      <c r="V101" s="7"/>
      <c r="W101" s="7"/>
    </row>
    <row r="102" spans="20:23" x14ac:dyDescent="0.2">
      <c r="T102" s="7"/>
      <c r="U102" s="7"/>
      <c r="V102" s="7"/>
      <c r="W102" s="7"/>
    </row>
    <row r="103" spans="20:23" x14ac:dyDescent="0.2">
      <c r="T103" s="7"/>
      <c r="U103" s="7"/>
      <c r="V103" s="7"/>
      <c r="W103" s="7"/>
    </row>
    <row r="104" spans="20:23" x14ac:dyDescent="0.2">
      <c r="T104" s="7"/>
      <c r="U104" s="7"/>
      <c r="V104" s="7"/>
      <c r="W104" s="7"/>
    </row>
    <row r="105" spans="20:23" x14ac:dyDescent="0.2">
      <c r="T105" s="7"/>
      <c r="U105" s="7"/>
      <c r="V105" s="7"/>
      <c r="W105" s="7"/>
    </row>
    <row r="106" spans="20:23" x14ac:dyDescent="0.2">
      <c r="T106" s="7"/>
      <c r="U106" s="7"/>
      <c r="V106" s="7"/>
      <c r="W106" s="7"/>
    </row>
    <row r="107" spans="20:23" x14ac:dyDescent="0.2">
      <c r="T107" s="7"/>
      <c r="U107" s="7"/>
      <c r="V107" s="7"/>
      <c r="W107" s="7"/>
    </row>
    <row r="108" spans="20:23" x14ac:dyDescent="0.2">
      <c r="T108" s="7"/>
      <c r="U108" s="7"/>
      <c r="V108" s="7"/>
      <c r="W108" s="7"/>
    </row>
    <row r="109" spans="20:23" x14ac:dyDescent="0.2">
      <c r="T109" s="7"/>
      <c r="U109" s="7"/>
      <c r="V109" s="7"/>
      <c r="W109" s="7"/>
    </row>
    <row r="110" spans="20:23" x14ac:dyDescent="0.2">
      <c r="T110" s="7"/>
      <c r="U110" s="7"/>
      <c r="V110" s="7"/>
      <c r="W110" s="7"/>
    </row>
    <row r="111" spans="20:23" x14ac:dyDescent="0.2">
      <c r="T111" s="7"/>
      <c r="U111" s="7"/>
      <c r="V111" s="7"/>
      <c r="W111" s="7"/>
    </row>
    <row r="112" spans="20:23" x14ac:dyDescent="0.2">
      <c r="T112" s="7"/>
      <c r="U112" s="7"/>
      <c r="V112" s="7"/>
      <c r="W112" s="7"/>
    </row>
    <row r="113" spans="20:23" x14ac:dyDescent="0.2">
      <c r="T113" s="7"/>
      <c r="U113" s="7"/>
      <c r="V113" s="7"/>
      <c r="W113" s="7"/>
    </row>
    <row r="114" spans="20:23" x14ac:dyDescent="0.2">
      <c r="T114" s="7"/>
      <c r="U114" s="7"/>
      <c r="V114" s="7"/>
      <c r="W114" s="7"/>
    </row>
    <row r="115" spans="20:23" x14ac:dyDescent="0.2">
      <c r="T115" s="7"/>
      <c r="U115" s="7"/>
      <c r="V115" s="7"/>
      <c r="W115" s="7"/>
    </row>
    <row r="116" spans="20:23" x14ac:dyDescent="0.2">
      <c r="T116" s="7"/>
      <c r="U116" s="7"/>
      <c r="V116" s="7"/>
      <c r="W116" s="7"/>
    </row>
    <row r="117" spans="20:23" x14ac:dyDescent="0.2">
      <c r="T117" s="7"/>
      <c r="U117" s="7"/>
      <c r="V117" s="7"/>
      <c r="W117" s="7"/>
    </row>
    <row r="118" spans="20:23" x14ac:dyDescent="0.2">
      <c r="T118" s="7"/>
      <c r="U118" s="7"/>
      <c r="V118" s="7"/>
      <c r="W118" s="7"/>
    </row>
    <row r="119" spans="20:23" x14ac:dyDescent="0.2">
      <c r="T119" s="7"/>
      <c r="U119" s="7"/>
      <c r="V119" s="7"/>
      <c r="W119" s="7"/>
    </row>
    <row r="120" spans="20:23" x14ac:dyDescent="0.2">
      <c r="T120" s="7"/>
      <c r="U120" s="7"/>
      <c r="V120" s="7"/>
      <c r="W120" s="7"/>
    </row>
    <row r="121" spans="20:23" x14ac:dyDescent="0.2">
      <c r="T121" s="7"/>
      <c r="U121" s="7"/>
      <c r="V121" s="7"/>
      <c r="W121" s="7"/>
    </row>
    <row r="122" spans="20:23" x14ac:dyDescent="0.2">
      <c r="T122" s="7"/>
      <c r="U122" s="7"/>
      <c r="V122" s="7"/>
      <c r="W122" s="7"/>
    </row>
    <row r="123" spans="20:23" x14ac:dyDescent="0.2">
      <c r="T123" s="7"/>
      <c r="U123" s="7"/>
      <c r="V123" s="7"/>
      <c r="W123" s="7"/>
    </row>
    <row r="124" spans="20:23" x14ac:dyDescent="0.2">
      <c r="T124" s="7"/>
      <c r="U124" s="7"/>
      <c r="V124" s="7"/>
      <c r="W124" s="7"/>
    </row>
    <row r="125" spans="20:23" x14ac:dyDescent="0.2">
      <c r="T125" s="7"/>
      <c r="U125" s="7"/>
      <c r="V125" s="7"/>
      <c r="W125" s="7"/>
    </row>
    <row r="126" spans="20:23" x14ac:dyDescent="0.2">
      <c r="T126" s="7"/>
      <c r="U126" s="7"/>
      <c r="V126" s="7"/>
      <c r="W126" s="7"/>
    </row>
    <row r="127" spans="20:23" x14ac:dyDescent="0.2">
      <c r="T127" s="7"/>
      <c r="U127" s="7"/>
      <c r="V127" s="7"/>
      <c r="W127" s="7"/>
    </row>
    <row r="128" spans="20:23" x14ac:dyDescent="0.2">
      <c r="T128" s="7"/>
      <c r="U128" s="7"/>
      <c r="V128" s="7"/>
      <c r="W128" s="7"/>
    </row>
    <row r="129" spans="20:23" x14ac:dyDescent="0.2">
      <c r="T129" s="7"/>
      <c r="U129" s="7"/>
      <c r="V129" s="7"/>
      <c r="W129" s="7"/>
    </row>
    <row r="130" spans="20:23" x14ac:dyDescent="0.2">
      <c r="T130" s="7"/>
      <c r="U130" s="7"/>
      <c r="V130" s="7"/>
      <c r="W130" s="7"/>
    </row>
    <row r="131" spans="20:23" x14ac:dyDescent="0.2">
      <c r="T131" s="7"/>
      <c r="U131" s="7"/>
      <c r="V131" s="7"/>
      <c r="W131" s="7"/>
    </row>
    <row r="132" spans="20:23" x14ac:dyDescent="0.2">
      <c r="T132" s="7"/>
      <c r="U132" s="7"/>
      <c r="V132" s="7"/>
      <c r="W132" s="7"/>
    </row>
    <row r="133" spans="20:23" x14ac:dyDescent="0.2">
      <c r="T133" s="7"/>
      <c r="U133" s="7"/>
      <c r="V133" s="7"/>
      <c r="W133" s="7"/>
    </row>
    <row r="134" spans="20:23" x14ac:dyDescent="0.2">
      <c r="T134" s="7"/>
      <c r="U134" s="7"/>
      <c r="V134" s="7"/>
      <c r="W134" s="7"/>
    </row>
    <row r="135" spans="20:23" x14ac:dyDescent="0.2">
      <c r="T135" s="7"/>
      <c r="U135" s="7"/>
      <c r="V135" s="7"/>
      <c r="W135" s="7"/>
    </row>
    <row r="136" spans="20:23" x14ac:dyDescent="0.2">
      <c r="T136" s="7"/>
      <c r="U136" s="7"/>
      <c r="V136" s="7"/>
      <c r="W136" s="7"/>
    </row>
    <row r="137" spans="20:23" x14ac:dyDescent="0.2">
      <c r="T137" s="7"/>
      <c r="U137" s="7"/>
      <c r="V137" s="7"/>
      <c r="W137" s="7"/>
    </row>
    <row r="138" spans="20:23" x14ac:dyDescent="0.2">
      <c r="T138" s="7"/>
      <c r="U138" s="7"/>
      <c r="V138" s="7"/>
      <c r="W138" s="7"/>
    </row>
    <row r="139" spans="20:23" x14ac:dyDescent="0.2">
      <c r="T139" s="7"/>
      <c r="U139" s="7"/>
      <c r="V139" s="7"/>
      <c r="W139" s="7"/>
    </row>
    <row r="140" spans="20:23" x14ac:dyDescent="0.2">
      <c r="T140" s="7"/>
      <c r="U140" s="7"/>
      <c r="V140" s="7"/>
      <c r="W140" s="7"/>
    </row>
    <row r="141" spans="20:23" x14ac:dyDescent="0.2">
      <c r="T141" s="7"/>
      <c r="U141" s="7"/>
      <c r="V141" s="7"/>
      <c r="W141" s="7"/>
    </row>
    <row r="142" spans="20:23" x14ac:dyDescent="0.2">
      <c r="T142" s="7"/>
      <c r="U142" s="7"/>
      <c r="V142" s="7"/>
      <c r="W142" s="7"/>
    </row>
    <row r="143" spans="20:23" x14ac:dyDescent="0.2">
      <c r="T143" s="7"/>
      <c r="U143" s="7"/>
      <c r="V143" s="7"/>
      <c r="W143" s="7"/>
    </row>
    <row r="144" spans="20:23" x14ac:dyDescent="0.2">
      <c r="T144" s="7"/>
      <c r="U144" s="7"/>
      <c r="V144" s="7"/>
      <c r="W144" s="7"/>
    </row>
    <row r="145" spans="20:23" x14ac:dyDescent="0.2">
      <c r="T145" s="7"/>
      <c r="U145" s="7"/>
      <c r="V145" s="7"/>
      <c r="W145" s="7"/>
    </row>
    <row r="146" spans="20:23" x14ac:dyDescent="0.2">
      <c r="T146" s="7"/>
      <c r="U146" s="7"/>
      <c r="V146" s="7"/>
      <c r="W146" s="7"/>
    </row>
    <row r="147" spans="20:23" x14ac:dyDescent="0.2">
      <c r="T147" s="7"/>
      <c r="U147" s="7"/>
      <c r="V147" s="7"/>
      <c r="W147" s="7"/>
    </row>
    <row r="148" spans="20:23" x14ac:dyDescent="0.2">
      <c r="T148" s="7"/>
      <c r="U148" s="7"/>
      <c r="V148" s="7"/>
      <c r="W148" s="7"/>
    </row>
    <row r="149" spans="20:23" x14ac:dyDescent="0.2">
      <c r="T149" s="7"/>
      <c r="U149" s="7"/>
      <c r="V149" s="7"/>
      <c r="W149" s="7"/>
    </row>
    <row r="150" spans="20:23" x14ac:dyDescent="0.2">
      <c r="T150" s="7"/>
      <c r="U150" s="7"/>
      <c r="V150" s="7"/>
      <c r="W150" s="7"/>
    </row>
    <row r="151" spans="20:23" x14ac:dyDescent="0.2">
      <c r="T151" s="7"/>
      <c r="U151" s="7"/>
      <c r="V151" s="7"/>
      <c r="W151" s="7"/>
    </row>
    <row r="152" spans="20:23" x14ac:dyDescent="0.2">
      <c r="T152" s="7"/>
      <c r="U152" s="7"/>
      <c r="V152" s="7"/>
      <c r="W152" s="7"/>
    </row>
    <row r="153" spans="20:23" x14ac:dyDescent="0.2">
      <c r="T153" s="7"/>
      <c r="U153" s="7"/>
      <c r="V153" s="7"/>
      <c r="W153" s="7"/>
    </row>
    <row r="154" spans="20:23" x14ac:dyDescent="0.2">
      <c r="T154" s="7"/>
      <c r="U154" s="7"/>
      <c r="V154" s="7"/>
      <c r="W154" s="7"/>
    </row>
    <row r="155" spans="20:23" x14ac:dyDescent="0.2">
      <c r="T155" s="7"/>
      <c r="U155" s="7"/>
      <c r="V155" s="7"/>
      <c r="W155" s="7"/>
    </row>
    <row r="156" spans="20:23" x14ac:dyDescent="0.2">
      <c r="T156" s="7"/>
      <c r="U156" s="7"/>
      <c r="V156" s="7"/>
      <c r="W156" s="7"/>
    </row>
    <row r="157" spans="20:23" x14ac:dyDescent="0.2">
      <c r="T157" s="7"/>
      <c r="U157" s="7"/>
      <c r="V157" s="7"/>
      <c r="W157" s="7"/>
    </row>
    <row r="158" spans="20:23" x14ac:dyDescent="0.2">
      <c r="T158" s="7"/>
      <c r="U158" s="7"/>
      <c r="V158" s="7"/>
      <c r="W158" s="7"/>
    </row>
    <row r="159" spans="20:23" x14ac:dyDescent="0.2">
      <c r="T159" s="7"/>
      <c r="U159" s="7"/>
      <c r="V159" s="7"/>
      <c r="W159" s="7"/>
    </row>
    <row r="160" spans="20:23" x14ac:dyDescent="0.2">
      <c r="T160" s="7"/>
      <c r="U160" s="7"/>
      <c r="V160" s="7"/>
      <c r="W160" s="7"/>
    </row>
    <row r="161" spans="20:23" x14ac:dyDescent="0.2">
      <c r="T161" s="7"/>
      <c r="U161" s="7"/>
      <c r="V161" s="7"/>
      <c r="W161" s="7"/>
    </row>
    <row r="162" spans="20:23" x14ac:dyDescent="0.2">
      <c r="T162" s="7"/>
      <c r="U162" s="7"/>
      <c r="V162" s="7"/>
      <c r="W162" s="7"/>
    </row>
    <row r="163" spans="20:23" x14ac:dyDescent="0.2">
      <c r="T163" s="7"/>
      <c r="U163" s="7"/>
      <c r="V163" s="7"/>
      <c r="W163" s="7"/>
    </row>
    <row r="164" spans="20:23" x14ac:dyDescent="0.2">
      <c r="T164" s="7"/>
      <c r="U164" s="7"/>
      <c r="V164" s="7"/>
      <c r="W164" s="7"/>
    </row>
    <row r="165" spans="20:23" x14ac:dyDescent="0.2">
      <c r="T165" s="7"/>
      <c r="U165" s="7"/>
      <c r="V165" s="7"/>
      <c r="W165" s="7"/>
    </row>
    <row r="166" spans="20:23" x14ac:dyDescent="0.2">
      <c r="T166" s="7"/>
      <c r="U166" s="7"/>
      <c r="V166" s="7"/>
      <c r="W166" s="7"/>
    </row>
    <row r="167" spans="20:23" x14ac:dyDescent="0.2">
      <c r="T167" s="7"/>
      <c r="U167" s="7"/>
      <c r="V167" s="7"/>
      <c r="W167" s="7"/>
    </row>
    <row r="168" spans="20:23" x14ac:dyDescent="0.2">
      <c r="T168" s="7"/>
      <c r="U168" s="7"/>
      <c r="V168" s="7"/>
      <c r="W168" s="7"/>
    </row>
    <row r="169" spans="20:23" x14ac:dyDescent="0.2">
      <c r="T169" s="7"/>
      <c r="U169" s="7"/>
      <c r="V169" s="7"/>
      <c r="W169" s="7"/>
    </row>
    <row r="170" spans="20:23" x14ac:dyDescent="0.2">
      <c r="T170" s="7"/>
      <c r="U170" s="7"/>
      <c r="V170" s="7"/>
      <c r="W170" s="7"/>
    </row>
    <row r="171" spans="20:23" x14ac:dyDescent="0.2">
      <c r="T171" s="7"/>
      <c r="U171" s="7"/>
      <c r="V171" s="7"/>
      <c r="W171" s="7"/>
    </row>
    <row r="172" spans="20:23" x14ac:dyDescent="0.2">
      <c r="T172" s="7"/>
      <c r="U172" s="7"/>
      <c r="V172" s="7"/>
      <c r="W172" s="7"/>
    </row>
    <row r="173" spans="20:23" x14ac:dyDescent="0.2">
      <c r="T173" s="7"/>
      <c r="U173" s="7"/>
      <c r="V173" s="7"/>
      <c r="W173" s="7"/>
    </row>
    <row r="174" spans="20:23" x14ac:dyDescent="0.2">
      <c r="T174" s="7"/>
      <c r="U174" s="7"/>
      <c r="V174" s="7"/>
      <c r="W174" s="7"/>
    </row>
    <row r="175" spans="20:23" x14ac:dyDescent="0.2">
      <c r="T175" s="7"/>
      <c r="U175" s="7"/>
      <c r="V175" s="7"/>
      <c r="W175" s="7"/>
    </row>
    <row r="176" spans="20:23" x14ac:dyDescent="0.2">
      <c r="T176" s="7"/>
      <c r="U176" s="7"/>
      <c r="V176" s="7"/>
      <c r="W176" s="7"/>
    </row>
    <row r="177" spans="20:23" x14ac:dyDescent="0.2">
      <c r="T177" s="7"/>
      <c r="U177" s="7"/>
      <c r="V177" s="7"/>
      <c r="W177" s="7"/>
    </row>
    <row r="178" spans="20:23" x14ac:dyDescent="0.2">
      <c r="T178" s="7"/>
      <c r="U178" s="7"/>
      <c r="V178" s="7"/>
      <c r="W178" s="7"/>
    </row>
    <row r="179" spans="20:23" x14ac:dyDescent="0.2">
      <c r="T179" s="7"/>
      <c r="U179" s="7"/>
      <c r="V179" s="7"/>
      <c r="W179" s="7"/>
    </row>
  </sheetData>
  <mergeCells count="3">
    <mergeCell ref="C10:O10"/>
    <mergeCell ref="C17:O17"/>
    <mergeCell ref="C20:O20"/>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363AC-A9EC-4D3C-A987-D509BD4FDCC3}">
  <sheetPr codeName="Sheet2"/>
  <dimension ref="A1:M37"/>
  <sheetViews>
    <sheetView showGridLines="0" zoomScale="135" zoomScaleNormal="135" workbookViewId="0">
      <selection activeCell="I21" sqref="I21"/>
    </sheetView>
  </sheetViews>
  <sheetFormatPr baseColWidth="10" defaultColWidth="9.1640625" defaultRowHeight="14" x14ac:dyDescent="0.15"/>
  <cols>
    <col min="1" max="7" width="9.1640625" style="9"/>
    <col min="8" max="8" width="9.33203125" style="9" bestFit="1" customWidth="1"/>
    <col min="9" max="10" width="9.1640625" style="9"/>
    <col min="11" max="11" width="12.83203125" style="9" customWidth="1"/>
    <col min="12" max="12" width="8.1640625" style="9" customWidth="1"/>
    <col min="13" max="13" width="12.6640625" style="9" customWidth="1"/>
    <col min="14" max="16384" width="9.1640625" style="9"/>
  </cols>
  <sheetData>
    <row r="1" spans="1:13" ht="20" x14ac:dyDescent="0.2">
      <c r="A1" s="37" t="s">
        <v>2</v>
      </c>
      <c r="B1" s="37"/>
      <c r="C1" s="37"/>
      <c r="D1" s="37"/>
      <c r="E1" s="37"/>
      <c r="F1" s="37"/>
      <c r="G1" s="37"/>
      <c r="H1" s="37"/>
      <c r="I1" s="37"/>
      <c r="J1" s="37"/>
      <c r="K1" s="37"/>
      <c r="L1" s="37"/>
      <c r="M1" s="37"/>
    </row>
    <row r="3" spans="1:13" ht="16" x14ac:dyDescent="0.2">
      <c r="A3" s="12" t="s">
        <v>17</v>
      </c>
      <c r="B3" s="10"/>
      <c r="C3" s="10"/>
      <c r="D3" s="10"/>
      <c r="E3" s="10"/>
      <c r="F3" s="10"/>
      <c r="G3" s="10"/>
      <c r="H3" s="10"/>
      <c r="K3" s="11" t="s">
        <v>26</v>
      </c>
      <c r="L3" s="11"/>
      <c r="M3" s="10" t="s">
        <v>11</v>
      </c>
    </row>
    <row r="4" spans="1:13" ht="16" x14ac:dyDescent="0.2">
      <c r="A4" s="13" t="s">
        <v>3</v>
      </c>
      <c r="B4" s="13" t="s">
        <v>4</v>
      </c>
      <c r="C4" s="13" t="s">
        <v>5</v>
      </c>
      <c r="D4" s="13" t="s">
        <v>6</v>
      </c>
      <c r="E4" s="13" t="s">
        <v>7</v>
      </c>
      <c r="F4" s="13" t="s">
        <v>8</v>
      </c>
      <c r="G4" s="13" t="s">
        <v>9</v>
      </c>
      <c r="H4" s="13" t="s">
        <v>0</v>
      </c>
      <c r="K4" s="20" t="s">
        <v>22</v>
      </c>
      <c r="L4" s="20"/>
      <c r="M4" s="17">
        <f>VLOOKUP(M3, A5:H11, 8, 0)</f>
        <v>480</v>
      </c>
    </row>
    <row r="5" spans="1:13" ht="16" x14ac:dyDescent="0.2">
      <c r="A5" s="2" t="s">
        <v>10</v>
      </c>
      <c r="B5" s="2">
        <v>42</v>
      </c>
      <c r="C5" s="2">
        <v>36</v>
      </c>
      <c r="D5" s="2">
        <v>23</v>
      </c>
      <c r="E5" s="2">
        <v>19</v>
      </c>
      <c r="F5" s="2">
        <v>48</v>
      </c>
      <c r="G5" s="2">
        <v>32</v>
      </c>
      <c r="H5" s="10">
        <f>SUM(B5:G5)</f>
        <v>200</v>
      </c>
      <c r="K5" s="20" t="s">
        <v>23</v>
      </c>
      <c r="L5" s="20"/>
      <c r="M5" s="18">
        <f>VLOOKUP(M3, A18:H24, 8, 0)</f>
        <v>1.5999999999999999</v>
      </c>
    </row>
    <row r="6" spans="1:13" ht="16" x14ac:dyDescent="0.2">
      <c r="A6" s="2" t="s">
        <v>11</v>
      </c>
      <c r="B6" s="2">
        <v>123</v>
      </c>
      <c r="C6" s="2">
        <v>85</v>
      </c>
      <c r="D6" s="2">
        <v>92</v>
      </c>
      <c r="E6" s="2">
        <v>45</v>
      </c>
      <c r="F6" s="2">
        <v>73</v>
      </c>
      <c r="G6" s="2">
        <v>62</v>
      </c>
      <c r="H6" s="10">
        <f t="shared" ref="H6:H11" si="0">SUM(B6:G6)</f>
        <v>480</v>
      </c>
      <c r="K6" s="20" t="s">
        <v>24</v>
      </c>
      <c r="L6" s="20"/>
      <c r="M6" s="19">
        <f>VLOOKUP(M3, A31:H37, 8, 0)</f>
        <v>0.87666666666666682</v>
      </c>
    </row>
    <row r="7" spans="1:13" ht="16" x14ac:dyDescent="0.2">
      <c r="A7" s="2" t="s">
        <v>15</v>
      </c>
      <c r="B7" s="2">
        <v>15</v>
      </c>
      <c r="C7" s="2">
        <v>18</v>
      </c>
      <c r="D7" s="2">
        <v>34</v>
      </c>
      <c r="E7" s="2">
        <v>46</v>
      </c>
      <c r="F7" s="2">
        <v>33</v>
      </c>
      <c r="G7" s="2">
        <v>26</v>
      </c>
      <c r="H7" s="10">
        <f t="shared" si="0"/>
        <v>172</v>
      </c>
    </row>
    <row r="8" spans="1:13" ht="16" x14ac:dyDescent="0.2">
      <c r="A8" s="2" t="s">
        <v>12</v>
      </c>
      <c r="B8" s="2">
        <v>62</v>
      </c>
      <c r="C8" s="2">
        <v>119</v>
      </c>
      <c r="D8" s="2">
        <v>45</v>
      </c>
      <c r="E8" s="2">
        <v>145</v>
      </c>
      <c r="F8" s="2">
        <v>88</v>
      </c>
      <c r="G8" s="2">
        <v>24</v>
      </c>
      <c r="H8" s="10">
        <f t="shared" si="0"/>
        <v>483</v>
      </c>
    </row>
    <row r="9" spans="1:13" ht="16" x14ac:dyDescent="0.2">
      <c r="A9" s="2" t="s">
        <v>13</v>
      </c>
      <c r="B9" s="2">
        <v>9</v>
      </c>
      <c r="C9" s="2">
        <v>64</v>
      </c>
      <c r="D9" s="2">
        <v>20</v>
      </c>
      <c r="E9" s="2">
        <v>18</v>
      </c>
      <c r="F9" s="2">
        <v>45</v>
      </c>
      <c r="G9" s="2">
        <v>67</v>
      </c>
      <c r="H9" s="10">
        <f t="shared" si="0"/>
        <v>223</v>
      </c>
      <c r="K9" s="11" t="s">
        <v>26</v>
      </c>
      <c r="L9" s="11"/>
      <c r="M9" s="10" t="str">
        <f>M3</f>
        <v>Daniels</v>
      </c>
    </row>
    <row r="10" spans="1:13" ht="16" x14ac:dyDescent="0.2">
      <c r="A10" s="2" t="s">
        <v>16</v>
      </c>
      <c r="B10" s="2">
        <v>22</v>
      </c>
      <c r="C10" s="2">
        <v>100</v>
      </c>
      <c r="D10" s="2">
        <v>45</v>
      </c>
      <c r="E10" s="2">
        <v>32</v>
      </c>
      <c r="F10" s="2">
        <v>8</v>
      </c>
      <c r="G10" s="2">
        <v>18</v>
      </c>
      <c r="H10" s="10">
        <f t="shared" si="0"/>
        <v>225</v>
      </c>
      <c r="K10" s="38" t="s">
        <v>27</v>
      </c>
      <c r="L10" s="38"/>
      <c r="M10" s="38"/>
    </row>
    <row r="11" spans="1:13" ht="16" x14ac:dyDescent="0.2">
      <c r="A11" s="2" t="s">
        <v>14</v>
      </c>
      <c r="B11" s="2">
        <v>108</v>
      </c>
      <c r="C11" s="2">
        <v>43</v>
      </c>
      <c r="D11" s="2">
        <v>72</v>
      </c>
      <c r="E11" s="2">
        <v>81</v>
      </c>
      <c r="F11" s="2">
        <v>74</v>
      </c>
      <c r="G11" s="2">
        <v>56</v>
      </c>
      <c r="H11" s="10">
        <f t="shared" si="0"/>
        <v>434</v>
      </c>
      <c r="K11" s="21"/>
      <c r="L11" s="27">
        <v>1</v>
      </c>
      <c r="M11" s="21"/>
    </row>
    <row r="12" spans="1:13" ht="16" x14ac:dyDescent="0.2">
      <c r="A12" s="2"/>
      <c r="B12" s="2"/>
      <c r="C12" s="2"/>
      <c r="D12" s="2"/>
      <c r="E12" s="2"/>
      <c r="F12" s="2"/>
      <c r="G12" s="2"/>
      <c r="H12" s="2"/>
      <c r="K12" s="21"/>
      <c r="L12" s="27">
        <v>2</v>
      </c>
      <c r="M12" s="21"/>
    </row>
    <row r="13" spans="1:13" ht="16" x14ac:dyDescent="0.2">
      <c r="A13" s="2" t="s">
        <v>19</v>
      </c>
      <c r="B13" s="14">
        <f>AVERAGE(B5:B11)</f>
        <v>54.428571428571431</v>
      </c>
      <c r="C13" s="14">
        <f t="shared" ref="C13:G13" si="1">AVERAGE(C5:C11)</f>
        <v>66.428571428571431</v>
      </c>
      <c r="D13" s="14">
        <f t="shared" si="1"/>
        <v>47.285714285714285</v>
      </c>
      <c r="E13" s="14">
        <f t="shared" si="1"/>
        <v>55.142857142857146</v>
      </c>
      <c r="F13" s="14">
        <f t="shared" si="1"/>
        <v>52.714285714285715</v>
      </c>
      <c r="G13" s="14">
        <f t="shared" si="1"/>
        <v>40.714285714285715</v>
      </c>
      <c r="H13" s="16">
        <f>AVERAGE(H5:H11)</f>
        <v>316.71428571428572</v>
      </c>
      <c r="K13" s="21"/>
      <c r="L13" s="27">
        <v>3</v>
      </c>
      <c r="M13" s="21"/>
    </row>
    <row r="14" spans="1:13" ht="16" x14ac:dyDescent="0.2">
      <c r="A14" s="2"/>
      <c r="B14" s="14"/>
      <c r="C14" s="14"/>
      <c r="D14" s="14"/>
      <c r="E14" s="14"/>
      <c r="F14" s="14"/>
      <c r="G14" s="14"/>
      <c r="H14" s="14"/>
      <c r="K14" s="21"/>
      <c r="L14" s="27">
        <v>4</v>
      </c>
      <c r="M14" s="21"/>
    </row>
    <row r="15" spans="1:13" x14ac:dyDescent="0.15">
      <c r="K15" s="21" t="s">
        <v>23</v>
      </c>
      <c r="L15" s="27">
        <v>5</v>
      </c>
      <c r="M15" s="21" t="s">
        <v>24</v>
      </c>
    </row>
    <row r="16" spans="1:13" ht="16" x14ac:dyDescent="0.2">
      <c r="A16" s="12" t="s">
        <v>18</v>
      </c>
      <c r="B16" s="10"/>
      <c r="C16" s="10"/>
      <c r="D16" s="10"/>
      <c r="E16" s="10"/>
      <c r="F16" s="10">
        <v>2</v>
      </c>
      <c r="G16" s="10">
        <v>2.5</v>
      </c>
      <c r="H16" s="10"/>
      <c r="K16" s="21"/>
      <c r="L16" s="27">
        <v>6</v>
      </c>
      <c r="M16" s="21"/>
    </row>
    <row r="17" spans="1:13" ht="16" x14ac:dyDescent="0.2">
      <c r="A17" s="13" t="s">
        <v>3</v>
      </c>
      <c r="B17" s="13" t="s">
        <v>4</v>
      </c>
      <c r="C17" s="13" t="s">
        <v>5</v>
      </c>
      <c r="D17" s="13" t="s">
        <v>6</v>
      </c>
      <c r="E17" s="13" t="s">
        <v>7</v>
      </c>
      <c r="F17" s="13" t="s">
        <v>8</v>
      </c>
      <c r="G17" s="13" t="s">
        <v>9</v>
      </c>
      <c r="H17" s="13" t="s">
        <v>19</v>
      </c>
      <c r="K17" s="21"/>
      <c r="L17" s="27">
        <v>7</v>
      </c>
      <c r="M17" s="21"/>
    </row>
    <row r="18" spans="1:13" ht="16" x14ac:dyDescent="0.2">
      <c r="A18" s="2" t="s">
        <v>10</v>
      </c>
      <c r="B18" s="14">
        <v>1.05</v>
      </c>
      <c r="C18" s="14">
        <v>0.9</v>
      </c>
      <c r="D18" s="14">
        <v>0.57499999999999996</v>
      </c>
      <c r="E18" s="14">
        <v>0.47499999999999998</v>
      </c>
      <c r="F18" s="14">
        <v>1.2</v>
      </c>
      <c r="G18" s="14">
        <v>0.8</v>
      </c>
      <c r="H18" s="16">
        <f>AVERAGE(B18:G18)</f>
        <v>0.83333333333333337</v>
      </c>
      <c r="L18" s="35">
        <f>RANK(M4, H5:H11, 0)</f>
        <v>2</v>
      </c>
    </row>
    <row r="19" spans="1:13" ht="16" x14ac:dyDescent="0.2">
      <c r="A19" s="2" t="s">
        <v>11</v>
      </c>
      <c r="B19" s="14">
        <v>2.46</v>
      </c>
      <c r="C19" s="14">
        <v>1.7</v>
      </c>
      <c r="D19" s="14">
        <v>1.84</v>
      </c>
      <c r="E19" s="14">
        <v>0.9</v>
      </c>
      <c r="F19" s="14">
        <v>1.46</v>
      </c>
      <c r="G19" s="14">
        <v>1.24</v>
      </c>
      <c r="H19" s="16">
        <f t="shared" ref="H19:H24" si="2">AVERAGE(B19:G19)</f>
        <v>1.5999999999999999</v>
      </c>
      <c r="I19" s="29"/>
    </row>
    <row r="20" spans="1:13" ht="16" x14ac:dyDescent="0.2">
      <c r="A20" s="2" t="s">
        <v>15</v>
      </c>
      <c r="B20" s="14">
        <v>0.375</v>
      </c>
      <c r="C20" s="14">
        <v>0.45</v>
      </c>
      <c r="D20" s="14">
        <v>0.85</v>
      </c>
      <c r="E20" s="14">
        <v>1.1499999999999999</v>
      </c>
      <c r="F20" s="14">
        <v>0.82499999999999996</v>
      </c>
      <c r="G20" s="14">
        <v>0.65</v>
      </c>
      <c r="H20" s="16">
        <f t="shared" si="2"/>
        <v>0.71666666666666667</v>
      </c>
    </row>
    <row r="21" spans="1:13" ht="16" x14ac:dyDescent="0.2">
      <c r="A21" s="2" t="s">
        <v>12</v>
      </c>
      <c r="B21" s="14">
        <v>0.77500000000000002</v>
      </c>
      <c r="C21" s="14">
        <v>1.4875</v>
      </c>
      <c r="D21" s="14">
        <v>0.5625</v>
      </c>
      <c r="E21" s="14">
        <v>1.8125</v>
      </c>
      <c r="F21" s="14">
        <v>1.1000000000000001</v>
      </c>
      <c r="G21" s="14">
        <v>0.3</v>
      </c>
      <c r="H21" s="16">
        <f t="shared" si="2"/>
        <v>1.0062500000000001</v>
      </c>
    </row>
    <row r="22" spans="1:13" ht="16" x14ac:dyDescent="0.2">
      <c r="A22" s="2" t="s">
        <v>13</v>
      </c>
      <c r="B22" s="14">
        <v>0.15</v>
      </c>
      <c r="C22" s="14">
        <v>1.0666666666666667</v>
      </c>
      <c r="D22" s="14">
        <v>0.33333333333333331</v>
      </c>
      <c r="E22" s="14">
        <v>0.3</v>
      </c>
      <c r="F22" s="14">
        <v>0.75</v>
      </c>
      <c r="G22" s="14">
        <v>1.1166666666666667</v>
      </c>
      <c r="H22" s="16">
        <f t="shared" si="2"/>
        <v>0.61944444444444435</v>
      </c>
    </row>
    <row r="23" spans="1:13" ht="16" x14ac:dyDescent="0.2">
      <c r="A23" s="2" t="s">
        <v>16</v>
      </c>
      <c r="B23" s="14">
        <v>0.55000000000000004</v>
      </c>
      <c r="C23" s="14">
        <v>2.5</v>
      </c>
      <c r="D23" s="14">
        <v>1.125</v>
      </c>
      <c r="E23" s="14">
        <v>0.8</v>
      </c>
      <c r="F23" s="14">
        <v>0.2</v>
      </c>
      <c r="G23" s="14">
        <v>0.45</v>
      </c>
      <c r="H23" s="16">
        <f t="shared" si="2"/>
        <v>0.9375</v>
      </c>
    </row>
    <row r="24" spans="1:13" ht="16" x14ac:dyDescent="0.2">
      <c r="A24" s="2" t="s">
        <v>14</v>
      </c>
      <c r="B24" s="14">
        <v>1.8</v>
      </c>
      <c r="C24" s="14">
        <v>0.71666666666666667</v>
      </c>
      <c r="D24" s="14">
        <v>1.2</v>
      </c>
      <c r="E24" s="14">
        <v>1.35</v>
      </c>
      <c r="F24" s="14">
        <v>1.2333333333333334</v>
      </c>
      <c r="G24" s="14">
        <v>0.93333333333333335</v>
      </c>
      <c r="H24" s="16">
        <f t="shared" si="2"/>
        <v>1.2055555555555555</v>
      </c>
    </row>
    <row r="25" spans="1:13" ht="16" x14ac:dyDescent="0.2">
      <c r="A25" s="2"/>
      <c r="B25" s="14"/>
      <c r="C25" s="14"/>
      <c r="D25" s="14"/>
      <c r="E25" s="14"/>
      <c r="F25" s="14"/>
      <c r="G25" s="14"/>
      <c r="H25" s="14"/>
    </row>
    <row r="26" spans="1:13" ht="16" x14ac:dyDescent="0.2">
      <c r="A26" s="2" t="s">
        <v>20</v>
      </c>
      <c r="B26" s="14">
        <f>AVERAGE(B18:B24)</f>
        <v>1.0228571428571429</v>
      </c>
      <c r="C26" s="14">
        <f t="shared" ref="C26:G26" si="3">AVERAGE(C18:C24)</f>
        <v>1.2601190476190478</v>
      </c>
      <c r="D26" s="14">
        <f t="shared" si="3"/>
        <v>0.92654761904761906</v>
      </c>
      <c r="E26" s="14">
        <f t="shared" si="3"/>
        <v>0.96964285714285714</v>
      </c>
      <c r="F26" s="14">
        <f t="shared" si="3"/>
        <v>0.96690476190476204</v>
      </c>
      <c r="G26" s="14">
        <f t="shared" si="3"/>
        <v>0.78428571428571436</v>
      </c>
      <c r="H26" s="16">
        <f>AVERAGE(H18:H24)</f>
        <v>0.98839285714285718</v>
      </c>
    </row>
    <row r="27" spans="1:13" ht="16" x14ac:dyDescent="0.2">
      <c r="A27" s="2"/>
      <c r="B27" s="14"/>
      <c r="C27" s="14"/>
      <c r="D27" s="14"/>
      <c r="E27" s="14"/>
      <c r="F27" s="14"/>
      <c r="G27" s="14"/>
      <c r="H27" s="14"/>
    </row>
    <row r="29" spans="1:13" ht="16" x14ac:dyDescent="0.2">
      <c r="A29" s="12" t="s">
        <v>21</v>
      </c>
      <c r="B29" s="10"/>
      <c r="C29" s="10"/>
      <c r="D29" s="10"/>
      <c r="E29" s="10"/>
      <c r="F29" s="10"/>
      <c r="G29" s="10"/>
      <c r="H29" s="10"/>
    </row>
    <row r="30" spans="1:13" ht="16" x14ac:dyDescent="0.2">
      <c r="A30" s="13" t="s">
        <v>3</v>
      </c>
      <c r="B30" s="13" t="s">
        <v>4</v>
      </c>
      <c r="C30" s="13" t="s">
        <v>5</v>
      </c>
      <c r="D30" s="13" t="s">
        <v>6</v>
      </c>
      <c r="E30" s="13" t="s">
        <v>7</v>
      </c>
      <c r="F30" s="13" t="s">
        <v>8</v>
      </c>
      <c r="G30" s="13" t="s">
        <v>9</v>
      </c>
      <c r="H30" s="13" t="s">
        <v>19</v>
      </c>
    </row>
    <row r="31" spans="1:13" ht="16" x14ac:dyDescent="0.2">
      <c r="A31" s="2" t="s">
        <v>10</v>
      </c>
      <c r="B31" s="15">
        <v>0.75</v>
      </c>
      <c r="C31" s="15">
        <v>0.78</v>
      </c>
      <c r="D31" s="15">
        <v>0.8</v>
      </c>
      <c r="E31" s="15">
        <v>0.72</v>
      </c>
      <c r="F31" s="15">
        <v>0.7</v>
      </c>
      <c r="G31" s="15">
        <v>0.76</v>
      </c>
      <c r="H31" s="15">
        <f>AVERAGE(B31:G31)</f>
        <v>0.75166666666666659</v>
      </c>
    </row>
    <row r="32" spans="1:13" ht="16" x14ac:dyDescent="0.2">
      <c r="A32" s="2" t="s">
        <v>11</v>
      </c>
      <c r="B32" s="15">
        <v>0.85</v>
      </c>
      <c r="C32" s="15">
        <v>0.81</v>
      </c>
      <c r="D32" s="15">
        <v>0.9</v>
      </c>
      <c r="E32" s="15">
        <v>0.85</v>
      </c>
      <c r="F32" s="15">
        <v>0.95</v>
      </c>
      <c r="G32" s="15">
        <v>0.9</v>
      </c>
      <c r="H32" s="15">
        <f t="shared" ref="H32:H37" si="4">AVERAGE(B32:G32)</f>
        <v>0.87666666666666682</v>
      </c>
    </row>
    <row r="33" spans="1:8" ht="16" x14ac:dyDescent="0.2">
      <c r="A33" s="2" t="s">
        <v>15</v>
      </c>
      <c r="B33" s="15">
        <v>0.68</v>
      </c>
      <c r="C33" s="15">
        <v>0.8</v>
      </c>
      <c r="D33" s="15">
        <v>0.75</v>
      </c>
      <c r="E33" s="15">
        <v>0.7</v>
      </c>
      <c r="F33" s="15">
        <v>0.85</v>
      </c>
      <c r="G33" s="15">
        <v>0.8</v>
      </c>
      <c r="H33" s="15">
        <v>0.75</v>
      </c>
    </row>
    <row r="34" spans="1:8" ht="16" x14ac:dyDescent="0.2">
      <c r="A34" s="2" t="s">
        <v>12</v>
      </c>
      <c r="B34" s="15">
        <v>0.88</v>
      </c>
      <c r="C34" s="15">
        <v>0.85</v>
      </c>
      <c r="D34" s="15">
        <v>0.92</v>
      </c>
      <c r="E34" s="15">
        <v>0.94</v>
      </c>
      <c r="F34" s="15">
        <v>0.9</v>
      </c>
      <c r="G34" s="15">
        <v>0.82</v>
      </c>
      <c r="H34" s="15">
        <f t="shared" si="4"/>
        <v>0.88500000000000012</v>
      </c>
    </row>
    <row r="35" spans="1:8" ht="16" x14ac:dyDescent="0.2">
      <c r="A35" s="2" t="s">
        <v>13</v>
      </c>
      <c r="B35" s="15">
        <v>0.8</v>
      </c>
      <c r="C35" s="15">
        <v>0.8</v>
      </c>
      <c r="D35" s="15">
        <v>0.85</v>
      </c>
      <c r="E35" s="15">
        <v>0.82</v>
      </c>
      <c r="F35" s="15">
        <v>0.8</v>
      </c>
      <c r="G35" s="15">
        <v>0.75</v>
      </c>
      <c r="H35" s="15">
        <f t="shared" si="4"/>
        <v>0.80333333333333334</v>
      </c>
    </row>
    <row r="36" spans="1:8" ht="16" x14ac:dyDescent="0.2">
      <c r="A36" s="2" t="s">
        <v>16</v>
      </c>
      <c r="B36" s="15">
        <v>0.95</v>
      </c>
      <c r="C36" s="15">
        <v>0.89</v>
      </c>
      <c r="D36" s="15">
        <v>0.9</v>
      </c>
      <c r="E36" s="15">
        <v>0.88</v>
      </c>
      <c r="F36" s="15">
        <v>0.95</v>
      </c>
      <c r="G36" s="15">
        <v>0.92</v>
      </c>
      <c r="H36" s="15">
        <f t="shared" si="4"/>
        <v>0.91499999999999992</v>
      </c>
    </row>
    <row r="37" spans="1:8" ht="16" x14ac:dyDescent="0.2">
      <c r="A37" s="2" t="s">
        <v>14</v>
      </c>
      <c r="B37" s="15">
        <v>0.83</v>
      </c>
      <c r="C37" s="15">
        <v>0.75</v>
      </c>
      <c r="D37" s="15">
        <v>0.85</v>
      </c>
      <c r="E37" s="15">
        <v>0.82</v>
      </c>
      <c r="F37" s="15">
        <v>0.88</v>
      </c>
      <c r="G37" s="15">
        <v>0.68</v>
      </c>
      <c r="H37" s="15">
        <f t="shared" si="4"/>
        <v>0.80166666666666664</v>
      </c>
    </row>
  </sheetData>
  <sortState xmlns:xlrd2="http://schemas.microsoft.com/office/spreadsheetml/2017/richdata2" ref="A5:A7">
    <sortCondition ref="A5"/>
  </sortState>
  <mergeCells count="2">
    <mergeCell ref="A1:M1"/>
    <mergeCell ref="K10:M10"/>
  </mergeCells>
  <conditionalFormatting sqref="B5:G12">
    <cfRule type="dataBar" priority="20">
      <dataBar>
        <cfvo type="min"/>
        <cfvo type="max"/>
        <color theme="6"/>
      </dataBar>
      <extLst>
        <ext xmlns:x14="http://schemas.microsoft.com/office/spreadsheetml/2009/9/main" uri="{B025F937-C7B1-47D3-B67F-A62EFF666E3E}">
          <x14:id>{D87C98CA-E878-4C70-BF74-0F2A4EC6129F}</x14:id>
        </ext>
      </extLst>
    </cfRule>
  </conditionalFormatting>
  <conditionalFormatting sqref="B13:G14">
    <cfRule type="colorScale" priority="18">
      <colorScale>
        <cfvo type="min"/>
        <cfvo type="max"/>
        <color rgb="FFFFEF9C"/>
        <color rgb="FF63BE7B"/>
      </colorScale>
    </cfRule>
  </conditionalFormatting>
  <conditionalFormatting sqref="B26:G27">
    <cfRule type="colorScale" priority="16">
      <colorScale>
        <cfvo type="min"/>
        <cfvo type="max"/>
        <color rgb="FFFFEF9C"/>
        <color rgb="FF63BE7B"/>
      </colorScale>
    </cfRule>
  </conditionalFormatting>
  <conditionalFormatting sqref="B31:H37">
    <cfRule type="iconSet" priority="13">
      <iconSet>
        <cfvo type="percent" val="0"/>
        <cfvo type="num" val="0.8"/>
        <cfvo type="num" val="0.9"/>
      </iconSet>
    </cfRule>
    <cfRule type="iconSet" priority="14">
      <iconSet>
        <cfvo type="percent" val="0"/>
        <cfvo type="percent" val="33"/>
        <cfvo type="percent" val="67"/>
      </iconSet>
    </cfRule>
  </conditionalFormatting>
  <conditionalFormatting sqref="H5:H11">
    <cfRule type="top10" dxfId="6" priority="12" rank="2"/>
  </conditionalFormatting>
  <conditionalFormatting sqref="A18:H24">
    <cfRule type="expression" dxfId="5" priority="10">
      <formula>$A18=$M$3</formula>
    </cfRule>
  </conditionalFormatting>
  <conditionalFormatting sqref="B18:G24">
    <cfRule type="cellIs" dxfId="4" priority="9" operator="between">
      <formula>$F$16</formula>
      <formula>$G$16</formula>
    </cfRule>
  </conditionalFormatting>
  <conditionalFormatting sqref="H18:H24">
    <cfRule type="cellIs" dxfId="3" priority="7" operator="greaterThan">
      <formula>1</formula>
    </cfRule>
  </conditionalFormatting>
  <conditionalFormatting sqref="L11:M17">
    <cfRule type="cellIs" dxfId="2" priority="3" operator="greaterThan">
      <formula>$L$18</formula>
    </cfRule>
    <cfRule type="cellIs" dxfId="1" priority="1" operator="equal">
      <formula>$L$18</formula>
    </cfRule>
  </conditionalFormatting>
  <conditionalFormatting sqref="O16">
    <cfRule type="cellIs" dxfId="0" priority="2" operator="equal">
      <formula>$L$18</formula>
    </cfRule>
  </conditionalFormatting>
  <dataValidations count="1">
    <dataValidation type="list" allowBlank="1" showInputMessage="1" showErrorMessage="1" sqref="M3" xr:uid="{CB035477-2D34-4AD8-8AB5-E9C205C45244}">
      <formula1>$A$5:$A$11</formula1>
    </dataValidation>
  </dataValidation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87C98CA-E878-4C70-BF74-0F2A4EC6129F}">
            <x14:dataBar minLength="0" maxLength="100" gradient="0">
              <x14:cfvo type="autoMin"/>
              <x14:cfvo type="autoMax"/>
              <x14:negativeFillColor rgb="FFFF0000"/>
              <x14:axisColor rgb="FF000000"/>
            </x14:dataBar>
          </x14:cfRule>
          <xm:sqref>B5:G12</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Instructions</vt:lpstr>
      <vt:lpstr>Performance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Jiamin Wang</dc:creator>
  <cp:lastModifiedBy>Microsoft Office User</cp:lastModifiedBy>
  <dcterms:created xsi:type="dcterms:W3CDTF">2021-02-06T16:39:51Z</dcterms:created>
  <dcterms:modified xsi:type="dcterms:W3CDTF">2021-07-22T20:40:40Z</dcterms:modified>
</cp:coreProperties>
</file>